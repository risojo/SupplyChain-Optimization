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l\Downloads\"/>
    </mc:Choice>
  </mc:AlternateContent>
  <xr:revisionPtr revIDLastSave="0" documentId="13_ncr:1_{79B3196D-676A-41F9-A4D7-8D5E0101616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a" sheetId="1" r:id="rId1"/>
    <sheet name="parametros" sheetId="2" r:id="rId2"/>
  </sheets>
  <definedNames>
    <definedName name="_xlnm._FilterDatabase" localSheetId="0" hidden="1">data!$A$1:$AR$244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1" i="1" l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2" i="1"/>
</calcChain>
</file>

<file path=xl/sharedStrings.xml><?xml version="1.0" encoding="utf-8"?>
<sst xmlns="http://schemas.openxmlformats.org/spreadsheetml/2006/main" count="1543" uniqueCount="330">
  <si>
    <t>codigo</t>
  </si>
  <si>
    <t>categoria</t>
  </si>
  <si>
    <t>clase</t>
  </si>
  <si>
    <t>subcategoria</t>
  </si>
  <si>
    <t>descripcion</t>
  </si>
  <si>
    <t>proveedor</t>
  </si>
  <si>
    <t>pais</t>
  </si>
  <si>
    <t>empaque</t>
  </si>
  <si>
    <t>bultos tarima</t>
  </si>
  <si>
    <t>cubicaje tarima</t>
  </si>
  <si>
    <t>demada mes 1</t>
  </si>
  <si>
    <t>demanda mes 2</t>
  </si>
  <si>
    <t>demada mes 3</t>
  </si>
  <si>
    <t>demanda mes 4</t>
  </si>
  <si>
    <t>demada mes 5</t>
  </si>
  <si>
    <t>demanda mes 6</t>
  </si>
  <si>
    <t>demanda mes 7</t>
  </si>
  <si>
    <t>demanda mes 8</t>
  </si>
  <si>
    <t>demanda mes 9</t>
  </si>
  <si>
    <t>demanda mes 10</t>
  </si>
  <si>
    <t>demanda mes 11</t>
  </si>
  <si>
    <t>demanda mes 12</t>
  </si>
  <si>
    <t>ordenes anual</t>
  </si>
  <si>
    <t>tiempo entrega</t>
  </si>
  <si>
    <t>inventario final bulto</t>
  </si>
  <si>
    <t>inventario promedio bultos</t>
  </si>
  <si>
    <t>valor inventario transito</t>
  </si>
  <si>
    <t>precio unitario bulto</t>
  </si>
  <si>
    <t>costo unitario bulto</t>
  </si>
  <si>
    <t>factor escazes</t>
  </si>
  <si>
    <t>unidades vendidas</t>
  </si>
  <si>
    <t>bultos vendidos</t>
  </si>
  <si>
    <t>margen utilidad ventas</t>
  </si>
  <si>
    <t>ventas totales</t>
  </si>
  <si>
    <t>ventas costo</t>
  </si>
  <si>
    <t>margen bruto total</t>
  </si>
  <si>
    <t>valor inventario promedio</t>
  </si>
  <si>
    <t>rotacion</t>
  </si>
  <si>
    <t>meses inventario</t>
  </si>
  <si>
    <t>bultos despachados mes</t>
  </si>
  <si>
    <t>cubicaje inventario</t>
  </si>
  <si>
    <t>costo mantener inventario</t>
  </si>
  <si>
    <t xml:space="preserve">factor escazes </t>
  </si>
  <si>
    <t>EVAI</t>
  </si>
  <si>
    <t>A</t>
  </si>
  <si>
    <t>China</t>
  </si>
  <si>
    <t>Parámetros Almacenaje</t>
  </si>
  <si>
    <t>Datos</t>
  </si>
  <si>
    <t>Numero de Personas Almacén</t>
  </si>
  <si>
    <t>Metros Cuadrados del Almacén</t>
  </si>
  <si>
    <t>Numero de Equipos</t>
  </si>
  <si>
    <t>Numero de Posiciones</t>
  </si>
  <si>
    <t>-</t>
  </si>
  <si>
    <t>Costos y Gastos</t>
  </si>
  <si>
    <t>Costo Mano de Obra</t>
  </si>
  <si>
    <t>Alquiler de Espacio</t>
  </si>
  <si>
    <t>Costo Suministro de Oficina</t>
  </si>
  <si>
    <t>Costo de Energía ( Agua, luz, etc)</t>
  </si>
  <si>
    <t>Otros Gastos</t>
  </si>
  <si>
    <t>Inversiones</t>
  </si>
  <si>
    <t>Inversión en Terreno y Edificio</t>
  </si>
  <si>
    <t>Sistema de Manejo de Materiales(Montacargas, elevadores, carretillas, etc.)</t>
  </si>
  <si>
    <t xml:space="preserve">Sistemas de Almacenaje de Materiales (Racks, bandas transportadoras, etc.) </t>
  </si>
  <si>
    <t>Sistema de Administración de Almacén WMS -(Licencias, mantenimiento, etc)</t>
  </si>
  <si>
    <t>Otras Inversiones</t>
  </si>
  <si>
    <t>Parámetros Inventario</t>
  </si>
  <si>
    <t>Número de Personas (Encargados y Planeadores)</t>
  </si>
  <si>
    <t>Número de SKU's</t>
  </si>
  <si>
    <t>Número de Proveedores</t>
  </si>
  <si>
    <t>Metros Cuadrados de Oficinas Inventarios</t>
  </si>
  <si>
    <t>Numero de Equipos ( fax, computadoras, etc)</t>
  </si>
  <si>
    <t>Costos de Mano de Obra</t>
  </si>
  <si>
    <t>Costos de Energía</t>
  </si>
  <si>
    <t>Costo de Espacio de Oficina</t>
  </si>
  <si>
    <t>Seguros de Invetarios</t>
  </si>
  <si>
    <t>Inventory Investment</t>
  </si>
  <si>
    <t>Hardware Investment  (fax,phones, TV, Computers, etc)</t>
  </si>
  <si>
    <t>Inventory Management System</t>
  </si>
  <si>
    <t xml:space="preserve">Servicos de terceros (3PL) </t>
  </si>
  <si>
    <t>Seguros de inventarios</t>
  </si>
  <si>
    <t>Numero horas trabajas al ano FTE</t>
  </si>
  <si>
    <t xml:space="preserve">Costo de Capital </t>
  </si>
  <si>
    <t>Cielos</t>
  </si>
  <si>
    <t>Policarbonato</t>
  </si>
  <si>
    <t>Molduras</t>
  </si>
  <si>
    <t>Pisos</t>
  </si>
  <si>
    <t>Paredes</t>
  </si>
  <si>
    <t>TABLILLA 20CM 6MMx5.9M BLANCA LISA T-24</t>
  </si>
  <si>
    <t>TABLILLA 20CM 6MMx5.9M CANELA T-61</t>
  </si>
  <si>
    <t>TAC CORNISA BLANCA 5.9 ( nueva intermedia )</t>
  </si>
  <si>
    <t>TABLILLA LAMINADA ALMENDRO PARA CIELO</t>
  </si>
  <si>
    <t>TABLILLA LAMINADA BLANCA MATE PARA CIELO</t>
  </si>
  <si>
    <t>TABLILLA LAMINADA CEREZO PARA CIELO</t>
  </si>
  <si>
    <t>TABLILLA LAMINADA MAPLE PARA CIELO</t>
  </si>
  <si>
    <t>TABLILLA 20CM 6MMx5.9M NOGAL GRIS T-04</t>
  </si>
  <si>
    <t>POLICARBONATO BRONCE 8MMX2.10X11.6M</t>
  </si>
  <si>
    <t>TABLILLA 20CM 6MMX5.9M BLANCA SATINADA HOT STAMPING T-29</t>
  </si>
  <si>
    <t>RODAPIE CAFE OSC. 2.40M 1039 85MM</t>
  </si>
  <si>
    <t>TABLILLA 20CM 6MMx5.9M BLANCO DIVISION T-05</t>
  </si>
  <si>
    <t>RODAPIE  CAFE OSCURO 2.40 MTS #1039 100 MM</t>
  </si>
  <si>
    <t>POLICARBONATO GRIS/HUMO 8MMX2.1X11.6M</t>
  </si>
  <si>
    <t>CORNISA CEDRO 5.90 M</t>
  </si>
  <si>
    <t>TABLILLA 20CM 6MMX5.90M MADERA T-32</t>
  </si>
  <si>
    <t>CORNISA CANELA 5.9O M</t>
  </si>
  <si>
    <t>RODAPIE LISO 2.4m #0101 NEGRO</t>
  </si>
  <si>
    <t>TABLILLA LAMINADA GRIS DE CIELO</t>
  </si>
  <si>
    <t>TABLILLA LAMINADA ROBLE PARA CIELO</t>
  </si>
  <si>
    <t>RODAPIE CAFE 2.40 MTS # 1035 100 MM</t>
  </si>
  <si>
    <t>CORNISA LAMINADA ALMENDRO PARA CIELO</t>
  </si>
  <si>
    <t>TABLILLA 20CM 6MMx5.9M MARMOL T-26</t>
  </si>
  <si>
    <t>TABLILLA 20CM 6MMX5.90M CAOBA T-33</t>
  </si>
  <si>
    <t>TABLILLA 20CM 6MMX5.90M MARFIL T-31</t>
  </si>
  <si>
    <t>RODAPIE NEGRO 2.4M #0101 100MM</t>
  </si>
  <si>
    <t>CORNISA LAMINADA CEREZO PARA CIELO</t>
  </si>
  <si>
    <t>TABLILLA 20CM 6MMx5.9M LABRADO GRIS T-27</t>
  </si>
  <si>
    <t>PISO TSPC 05 1.22*0.23</t>
  </si>
  <si>
    <t>RODAPIE CAFE 2.40M #1035 65 MM</t>
  </si>
  <si>
    <t>RODAPIE LISO 2.4m #1251 TABACO</t>
  </si>
  <si>
    <t>CORNISA 2.40 M 1039 CAFE OSCURO</t>
  </si>
  <si>
    <t>RODAPIE CAFE OSCURO #1039 2.40 MTS 65MM</t>
  </si>
  <si>
    <t>PISO TSPC 02 1.22*0.23</t>
  </si>
  <si>
    <t>RODAPIE CAFE CLARO 2.40M 1038 85MM</t>
  </si>
  <si>
    <t>RODAPIE LISO 2.4m #1112 CHOCOLATE</t>
  </si>
  <si>
    <t>PISO TSPC 01 1.22*0.23</t>
  </si>
  <si>
    <t>CORNISA LAMINADA MAPLE PARA CIELO</t>
  </si>
  <si>
    <t>CORNISA 2.40M BLANCA</t>
  </si>
  <si>
    <t>POLICARBONATO CRISTAL 8MM 2.10x11.6M</t>
  </si>
  <si>
    <t>PERFIL U8 POLICARBONATO CRISTAL 2.10M</t>
  </si>
  <si>
    <t>PERFIL HCP POLICARBONATO BRONCE</t>
  </si>
  <si>
    <t>TABLILLA 20CM 6MMx5.9M CEDRO T-25</t>
  </si>
  <si>
    <t>RODAPIE NEGRO 2.4M #0101 NEGRO 85MM</t>
  </si>
  <si>
    <t>UNION DE CIELO BLANCO 5.90 M</t>
  </si>
  <si>
    <t>TABLILLA DECORATIVA TECA 16CMX2.95M</t>
  </si>
  <si>
    <t>PISO TSPC 04 1.22*0.23</t>
  </si>
  <si>
    <t>CORNISA LAMINADA ROBLE PARA CIELO</t>
  </si>
  <si>
    <t>TABLILLA DECORATIVA ÉBANO OSCURO 16CMX2.95M</t>
  </si>
  <si>
    <t>M. LAMINADA COCOA 2.7m  AK01(0833E)</t>
  </si>
  <si>
    <t>CORNISA LAMINADA BLANCA MATE PARA CIELO</t>
  </si>
  <si>
    <t>PERFIL HCP POLICARBONATO GRIS</t>
  </si>
  <si>
    <t>RODAPIE CAFE CLARO 2.40 MTS #1038 100 MM</t>
  </si>
  <si>
    <t>TABLILLA 20CM 6MMx5.9M TECA T-07</t>
  </si>
  <si>
    <t>RODAPIE LISO BLANCO 8.5CM*2.9M</t>
  </si>
  <si>
    <t>CORNISA MADERA 5.90M</t>
  </si>
  <si>
    <t>M. LAMINADA MOKA 2.7m EL01(0833E)</t>
  </si>
  <si>
    <t>RODAPIE CURVO CON DISEÑO BLANCO 8.5CM*2.9M</t>
  </si>
  <si>
    <t>TABLILLA DECORATIVA BICOLOR NEGRA/TECA 16CMX2.95M</t>
  </si>
  <si>
    <t>CORNISA 2.40M CAFE</t>
  </si>
  <si>
    <t>M. LAMINADA MOKA 2.7m EL01 (0804B)</t>
  </si>
  <si>
    <t>PISO TSPC 07 0.61*0.305</t>
  </si>
  <si>
    <t>M. LAMINADA COCOA 2.7m AK01 (0804B)</t>
  </si>
  <si>
    <t>RODAPIE CURVO CON DISEÑO BLANCO 10CM*2.9M</t>
  </si>
  <si>
    <t>TABLILLA DE PARED BLANCA MP-2</t>
  </si>
  <si>
    <t>RODAPIE TECA 2.40 MTS #1036 100 MM</t>
  </si>
  <si>
    <t>TABLILLA DE PARED BLANCO TIZA XG00-2</t>
  </si>
  <si>
    <t>CORNISA MAD. CAOBA 5.90M</t>
  </si>
  <si>
    <t>SILICON SELLADOR PERIMETRAL TRANSPARENTE</t>
  </si>
  <si>
    <t>TORNILLO METAL P/B HEXAGONAL PARA LAMINA DE POLICARBONATO</t>
  </si>
  <si>
    <t>CORNISA LAMINADA GRIS PARA CIELO</t>
  </si>
  <si>
    <t>RODAPIE NEGRO 2.4M #0101 65 MM</t>
  </si>
  <si>
    <t>PISO TSPC 06 1.22*0.23</t>
  </si>
  <si>
    <t>TABLILLA DECORATIVA GRIS PLATA 16CMX2.95M</t>
  </si>
  <si>
    <t>KIT DE TAPAS POLICARBONATO</t>
  </si>
  <si>
    <t>TABLILLA DE PARED LABRADO GRIS X387-155</t>
  </si>
  <si>
    <t>TABLILLA DECORATIVA NEGRA 16CMx2.95M</t>
  </si>
  <si>
    <t>POLICARBONATO AZUL 8MMX2.1X11.6M</t>
  </si>
  <si>
    <t>CINTA ANTI POLVO PERFORADA 25MM</t>
  </si>
  <si>
    <t>PANEL DECORATIVO PVC TIPO MARMOL BLANCO VETAS KL8275 1.22*2.80</t>
  </si>
  <si>
    <t>TABLILLA DE PARED LABRADO BEIGE X388-A155</t>
  </si>
  <si>
    <t>MOLDURA DE INICIO BLANCA 5.90 M</t>
  </si>
  <si>
    <t>PANEL DECORATIVO PVC TIPO MARMOL GRIS BRILLANTE KL8285-1 1.22*2.80</t>
  </si>
  <si>
    <t>PISO TSPC 08 0.61*0.305</t>
  </si>
  <si>
    <t>CORNISA 2.40M SECOYA</t>
  </si>
  <si>
    <t>CORNISA 2.40 M 1038 CAFE CLARO</t>
  </si>
  <si>
    <t>CORNISA TECA 5.90 M</t>
  </si>
  <si>
    <t>TABLILLA DECORATIVA GRIS 16CMX2.95M</t>
  </si>
  <si>
    <t>M. LAMINADA MOKA 2.7m EL01 (0693A)</t>
  </si>
  <si>
    <t>PERFIL HCP POLICARBONATO CRISTAL</t>
  </si>
  <si>
    <t>RODAPIE LISO 2.4m #4551 MOKA</t>
  </si>
  <si>
    <t>TABLILLA DECORATIVA NOGAL OSCURO 16CMX2.95M</t>
  </si>
  <si>
    <t>ADHESIVO PENSYLVANIA HI BOND SUPER BLANCO 290ML</t>
  </si>
  <si>
    <t>PERFIL U8 ALUMINIO 2.15 MTS (NACIONAL)</t>
  </si>
  <si>
    <t>CINTA ANTI POLVO LISA 25MM</t>
  </si>
  <si>
    <t>CINTA LED 24V</t>
  </si>
  <si>
    <t>RODAPIE SECOYA 2.40M #1037 100 MM</t>
  </si>
  <si>
    <t>CORNISA MARFIL 5.90M</t>
  </si>
  <si>
    <t>PANEL DECORATIVO PVC TIPO MARMOL AMBAR KL8235-1 1.22*2.80</t>
  </si>
  <si>
    <t>RODAPIE LISO 2.40m #2351 CAOBA</t>
  </si>
  <si>
    <t>PU STONE 1.2mx0.6m ELEGANT BLACK</t>
  </si>
  <si>
    <t>M. LAMINADA COCOA 2.7m AK01 (0503B)</t>
  </si>
  <si>
    <t>CORNISA BLANCA 6CM*2.9M</t>
  </si>
  <si>
    <t>UNION DE CIELO CANELA (NUEVA) 5.90M</t>
  </si>
  <si>
    <t>PU STONE 1.2mx0.6m JADE WHITE</t>
  </si>
  <si>
    <t>M. LAMINADA COCOA 2.7m AK01 (0693A)</t>
  </si>
  <si>
    <t>PANEL DECORATIVO PVC TIPO MARMOL GRIS KL8235 1.22*2.80</t>
  </si>
  <si>
    <t>M. LAMINADA MARRON 2.7m RC01(0833E)</t>
  </si>
  <si>
    <t>TABLILLA DECORATIVA TC-01 MADERA CLARA 12CMX2.95M</t>
  </si>
  <si>
    <t>PU STONE 1.2mx0.6m CONCRETE GREY</t>
  </si>
  <si>
    <t>MOLDURA DE INICIO LAMINADA ALMENDRO PARA CIELO</t>
  </si>
  <si>
    <t>PANEL DECORATIVO PVC TIPO MARMOL BLANCO IBIZA KL8272 1.22*2.80</t>
  </si>
  <si>
    <t>PANEL DECORATIVO PVC TIPO MARMOL VETAS CAFE-BEIGE KL8266 1.22*2.80</t>
  </si>
  <si>
    <t>UNION DE CIELO MAD. CEDRO (NUEVA) 5.90M</t>
  </si>
  <si>
    <t>RODAPIE TECA 2.40M #1036 65 MM</t>
  </si>
  <si>
    <t>M. LAMINADA MOKA 2.7m EL01 (0503B)</t>
  </si>
  <si>
    <t>SOFT TILE TRAVENTINE NEGRO - 1.2mX0.6m</t>
  </si>
  <si>
    <t>MOLDURA DE INICIO LAMINADA CEREZO PARA CIELO</t>
  </si>
  <si>
    <t>SOFT TILE TRAVENTINE GRIS CLARO - 1.2mX0.6m</t>
  </si>
  <si>
    <t>TAC ESQUINA H/AFUERA 5.90M BLANCO</t>
  </si>
  <si>
    <t>M. LAMINADA MARRON 2.7m RC01 (0804B)</t>
  </si>
  <si>
    <t>SOFT TILE TRAVENTINE BLANCO - 1.2mX0.6m</t>
  </si>
  <si>
    <t>UNION H LAMINADA ALMENDRO PARA CIELO</t>
  </si>
  <si>
    <t>FOLLAJE OUTDOOR 02 - HH-4 - 50CMx50CM</t>
  </si>
  <si>
    <t>TAC ESQUINA H/ADENTRO 5.90M BLANCO</t>
  </si>
  <si>
    <t>UNION H LAMINADA CEREZO PARA CIELO</t>
  </si>
  <si>
    <t>RODAPIE CAFE CLARO #1038 65MM</t>
  </si>
  <si>
    <t>FOLLAJE OUTDOOR 01 - HH-3 - 50CMx50CM</t>
  </si>
  <si>
    <t>TABLILLA DECORATIVA MIEL 16CM X 2.95M</t>
  </si>
  <si>
    <t>UNION H LAMINADA MAPLE PARA CIELO</t>
  </si>
  <si>
    <t>PANEL DECORATIVO PVC TIPO MARMOL NEGRO VETAS KL8233</t>
  </si>
  <si>
    <t>RODAPIE SECOYA 2.40M #1037 65MM</t>
  </si>
  <si>
    <t>TABLILLA DECORATIVA BLANCA 16CMX2.95M</t>
  </si>
  <si>
    <t>PISO TSPC 03 1.22*0.23</t>
  </si>
  <si>
    <t>MOLDURA DE INICIO LAMINADA MAPLE PARA CIELO</t>
  </si>
  <si>
    <t>ESQUINERO TABLILLA DECORATIVA NEGRA</t>
  </si>
  <si>
    <t>ESQUINERO TABLILLA DECORATIVA TECA</t>
  </si>
  <si>
    <t>UNION DE CIELO CAOBA 5.90M</t>
  </si>
  <si>
    <t>CUBOS MAGNETICOS 5/16</t>
  </si>
  <si>
    <t>MOLDURA DE INICIO LAMINDA BLANCO MATE PARA CIELO</t>
  </si>
  <si>
    <t>UNION H LAMINADA BLANCO MATE PARA CIELO</t>
  </si>
  <si>
    <t>3D PANEL PVC 0.5mX0.5m MADERA OSCURA</t>
  </si>
  <si>
    <t>ANGULAR ESCALERA TSPC 02 2.40M</t>
  </si>
  <si>
    <t>CORNISA 2.40M AMARILLA</t>
  </si>
  <si>
    <t>UNION H LAMINADA ROBLE PARA CIELO</t>
  </si>
  <si>
    <t>ESQUINERO TABLILLA DECORATIVA NOGAL OSCURO</t>
  </si>
  <si>
    <t>MOLDURA DE INICIO LAMINADA ROBLE PARA CIELO</t>
  </si>
  <si>
    <t>TABLILLA DECORATIVA CHAMPAGNE 19.5CM X 2.95M B-066-1</t>
  </si>
  <si>
    <t>MOLDURA T TSPC 05 2.40M</t>
  </si>
  <si>
    <t>POLICARBONATO SOLIDO GRIS 1.22M X 50M</t>
  </si>
  <si>
    <t>FOLLAJE DECO 02 - HH-6 - 50CMx50CM</t>
  </si>
  <si>
    <t>FOLLAJE ECO 01 - HH-1 - 40CMx60CM</t>
  </si>
  <si>
    <t>M. LAMINADA MARRON 2.7m RC01 (0503B)</t>
  </si>
  <si>
    <t>MOLDURA T TSPC 02 2.40M</t>
  </si>
  <si>
    <t>MOLDURA T TSPC 04 2.40M</t>
  </si>
  <si>
    <t>ESQUINERO TABLILLA DECORATIVA ÉBANO OSCURO</t>
  </si>
  <si>
    <t>MOLDURA DE INICIO PARED BLANCO TIZA</t>
  </si>
  <si>
    <t>ESQUINERO TABLILLA DECORATIVA GRIS PLATA</t>
  </si>
  <si>
    <t>UNION DE CIELO TECA 5.90M</t>
  </si>
  <si>
    <t>TABLILLA DECORATIVA DENIM 19.5CM X 2.95M B-066-3</t>
  </si>
  <si>
    <t xml:space="preserve">TABLILLA DECORATIVA PLATINO 16CM X 2.95M KM-013	</t>
  </si>
  <si>
    <t>POLICARBONATO GRIS/HUMO 8MM 2.1 X11.6M 3 CAPAS</t>
  </si>
  <si>
    <t>3D PANEL PVC 0.5mX0.5m MADERA NEGRA</t>
  </si>
  <si>
    <t>UV PANEL H clip</t>
  </si>
  <si>
    <t>ESQUINERO TABLILLA DECORATIVA GRIS</t>
  </si>
  <si>
    <t>ANGULAR ESCALERA TSPC 04 2.40M</t>
  </si>
  <si>
    <t>UNION H LAMINADA GRIS PARA CIELO</t>
  </si>
  <si>
    <t>TABLILLA DECORATIVA WENGE 16CM X 2.95M KM-015</t>
  </si>
  <si>
    <t>MOLDURA DE INICIO PARED BLANCA</t>
  </si>
  <si>
    <t>ESQ HACIA AFUERA LAMINADA CEREZO PARA CIELO</t>
  </si>
  <si>
    <t>MOLDURA DE INICIO PARED LABRADO GRIS</t>
  </si>
  <si>
    <t>UNION DE CIELO MADERA 5.90M</t>
  </si>
  <si>
    <t>FOLLAJE ECO 02 - HH-2 - 40CMx60CM</t>
  </si>
  <si>
    <t>MOLDURA DE INICIO LAMINADA GRIS PARA CIELO</t>
  </si>
  <si>
    <t>3D PANEL PVC 0.5mX0.5m MADERA CLARA</t>
  </si>
  <si>
    <t>ESQ. AFUERA PARA TABLILLA DE PARED LABADO GRIS</t>
  </si>
  <si>
    <t>ESQUINERO TABLILLA DECORATIVA BLANCA</t>
  </si>
  <si>
    <t>ESQ. AFUERA PARA TABLILLA DE PARED BLANCO TIZA</t>
  </si>
  <si>
    <t>Tornillo Hexagonal 10 x 1 1/2 PF</t>
  </si>
  <si>
    <t>TABLILLA DECORATIVA ROBLE BLANCO 16CM X 2.95M</t>
  </si>
  <si>
    <t>MOLDURA T TSPC 06 2.40M</t>
  </si>
  <si>
    <t>UNION DE CIELO MARFIL 5.90M</t>
  </si>
  <si>
    <t>ESQ HACIA ADENTRO LAMINADA ALMENDRO PARA CIELO</t>
  </si>
  <si>
    <t>ANGULAR ESCALERA TSPC 06 2.40M</t>
  </si>
  <si>
    <t>UV PANEL end cap</t>
  </si>
  <si>
    <t>ESQ HACIA AFUERA LAMINADA ROBLE PARA CIELO</t>
  </si>
  <si>
    <t>ESQ HACIA AFUERA LAMINADA ALMENDRO PARA CIELO</t>
  </si>
  <si>
    <t>ESQUINA HACIA AFUERA CEDRO 5.90M</t>
  </si>
  <si>
    <t>ESQ HACIA ADENTRO LAMINADA CEREZO PARA CIELO</t>
  </si>
  <si>
    <t>MOLDURA T TSPC 01 2.40M</t>
  </si>
  <si>
    <t>MOLDURA DE INICIO CANELA 5.90 M</t>
  </si>
  <si>
    <t>ESQ. ADENTRO PARA TABLILLA DE PARED BLANCO TIZA</t>
  </si>
  <si>
    <t>TRANSFORMADOR 24V</t>
  </si>
  <si>
    <t>MOLDURA DE INICIO CEDRO 5.90 M</t>
  </si>
  <si>
    <t>M. LAMINADA MARRON 2.7m RC01 (0693A)</t>
  </si>
  <si>
    <t>FOLLAJE DECO 01 - HH-5 - 50CMx50CM</t>
  </si>
  <si>
    <t>MOLDURA DE INICIO PARED LABRADO BEIGE</t>
  </si>
  <si>
    <t>UNION DE TABLILLA PARED BLANCO TIZA</t>
  </si>
  <si>
    <t>UNION DE TABLILLA PARED LABRADO GRIS</t>
  </si>
  <si>
    <t>PERFIL U8 ALUMINIO 2.10 MTS BRONCE (NACIONAL)</t>
  </si>
  <si>
    <t>ESQUINA HACIA AFUERA CANELA 5.90M</t>
  </si>
  <si>
    <t>ESQ. ADENTRO PARA TABLILLA DE PARED BLANCO</t>
  </si>
  <si>
    <t>ANGULAR ESCALERA TSPC 05 2.40M</t>
  </si>
  <si>
    <t>ANGULAR ESCALERA TSPC 03 2.40M</t>
  </si>
  <si>
    <t>ESQ. AFUERA PARA TABLILLA DE PARED LABRADO BEIGE</t>
  </si>
  <si>
    <t>ESQUINA HACIA ADENTRO CEDRO 5.90M</t>
  </si>
  <si>
    <t>ESQ HACIA ADENTRO LAMINADA ROBLE PARA CIELO</t>
  </si>
  <si>
    <t xml:space="preserve">ANGULAR ESCALERA TSPC 07 2.40M	</t>
  </si>
  <si>
    <t>UNION DE TABLILLA PARED BLANCA</t>
  </si>
  <si>
    <t>POLICARBONATO SOLIDO CRISTAL 1.22M X 50M</t>
  </si>
  <si>
    <t>MOLDURA DE INICIO MADERA 5.90M</t>
  </si>
  <si>
    <t>ESQ HACIA AFUERA LAMINADA GRIS PARA CIELO</t>
  </si>
  <si>
    <t>UV PANEL external corner</t>
  </si>
  <si>
    <t>ESQUINA HACIA AFUERA MADERA 5.90M</t>
  </si>
  <si>
    <t>ESQ HACIA AFUERA LAMINADA BLANCO MATE PARA CIELO</t>
  </si>
  <si>
    <t>ESQ HACIA AFUERA LAMINADA MAPLE PARA CIELO</t>
  </si>
  <si>
    <t>MOLDURA T TSPC 07 2.40M</t>
  </si>
  <si>
    <t>UNION DE TABLILLA DE PARED LABRADO BEIGE</t>
  </si>
  <si>
    <t>ESQ. ADENTRO PARA TABLILLA DE PARED LABRADO GRIS</t>
  </si>
  <si>
    <t>ESQUINA HACIA ADENTRO MADERA 5.90M</t>
  </si>
  <si>
    <t>ESQUINA HACIA ADENTRO CANELA 5.90M</t>
  </si>
  <si>
    <t>ESQ. AFUERA PARA TABLILLA DE PARED BLANCA</t>
  </si>
  <si>
    <t>TABLILLA DECORATIVA CASTAÑO 16CM X 2.95M</t>
  </si>
  <si>
    <t>ESQ HACIA ADENTRO LAMINADA GRIS PARA CIELO</t>
  </si>
  <si>
    <t>UV PANEL internal corner</t>
  </si>
  <si>
    <t>ANGULAR ESCALERA TSPC 01 2.40M</t>
  </si>
  <si>
    <t>3D PANEL PVC 0.5mX0.5m D141 BLANCO</t>
  </si>
  <si>
    <t>3D PANEL PVC 0.5mX0.5m D017 BLANCO</t>
  </si>
  <si>
    <t>3D PANEL PVC 0.5mX0.5m BLANCO</t>
  </si>
  <si>
    <t>MOLDURA DE INICIO CAOBA 5.90M</t>
  </si>
  <si>
    <t>ESQ HACIA ADENTRO LAMINADA MAPLE PARA CIELO</t>
  </si>
  <si>
    <t>ESQ HACIA ADENTRO LAMINADA BLANCA MATE PARA CIELO</t>
  </si>
  <si>
    <t>ESQUINA HACIA AFUERA CAOBA 5.90M</t>
  </si>
  <si>
    <t>ESQUINA HACIA ADENTRO CAOBA 5.90M</t>
  </si>
  <si>
    <t>MOLDURA DE INICIO TECA 5.90 M</t>
  </si>
  <si>
    <t>ESQUINA HACIA AFUERA TECA 5.90M</t>
  </si>
  <si>
    <t xml:space="preserve">ANGULAR ESCALERA TSPC 08 2.40M	</t>
  </si>
  <si>
    <t>ESQUINA HACIA ADENTRO TECA 5.90M</t>
  </si>
  <si>
    <t>MOLDURA T TSPC 08 2.40M</t>
  </si>
  <si>
    <t>MOLDURA T TSPC 03 2.40M</t>
  </si>
  <si>
    <t>MOLDURA DE INICO MARFIL 5.90M</t>
  </si>
  <si>
    <t>ESQUINA HACIA ADENTRO MARFIL 5.90M</t>
  </si>
  <si>
    <t>ESQUINA HACIA AFUERA MARFIL 5.90M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</si>
</sst>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9" fontId="0" fillId="0" borderId="0" xfId="1" applyFont="1"/>
    <xf numFmtId="0" fontId="3" fillId="0" borderId="0" xfId="0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44"/>
  <sheetViews>
    <sheetView tabSelected="1" workbookViewId="0">
      <selection activeCell="AK1" sqref="AK1"/>
    </sheetView>
  </sheetViews>
  <sheetFormatPr baseColWidth="10" defaultColWidth="9.140625" defaultRowHeight="15" x14ac:dyDescent="0.25"/>
  <cols>
    <col min="1" max="1" width="12.28515625" bestFit="1" customWidth="1"/>
    <col min="2" max="2" width="12.7109375" bestFit="1" customWidth="1"/>
    <col min="3" max="3" width="5.42578125" bestFit="1" customWidth="1"/>
    <col min="4" max="4" width="25.85546875" bestFit="1" customWidth="1"/>
    <col min="5" max="5" width="34.7109375" bestFit="1" customWidth="1"/>
    <col min="6" max="6" width="14.5703125" bestFit="1" customWidth="1"/>
    <col min="7" max="7" width="11.7109375" bestFit="1" customWidth="1"/>
    <col min="8" max="8" width="9.42578125" bestFit="1" customWidth="1"/>
    <col min="9" max="9" width="12.7109375" bestFit="1" customWidth="1"/>
    <col min="10" max="10" width="14.42578125" bestFit="1" customWidth="1"/>
    <col min="11" max="11" width="13.7109375" bestFit="1" customWidth="1"/>
    <col min="12" max="12" width="14.85546875" bestFit="1" customWidth="1"/>
    <col min="13" max="13" width="13.7109375" bestFit="1" customWidth="1"/>
    <col min="14" max="14" width="14.85546875" bestFit="1" customWidth="1"/>
    <col min="15" max="15" width="13.7109375" bestFit="1" customWidth="1"/>
    <col min="16" max="19" width="14.85546875" bestFit="1" customWidth="1"/>
    <col min="20" max="22" width="15.85546875" bestFit="1" customWidth="1"/>
    <col min="23" max="23" width="13.5703125" bestFit="1" customWidth="1"/>
    <col min="24" max="24" width="14.7109375" bestFit="1" customWidth="1"/>
    <col min="25" max="25" width="19.85546875" bestFit="1" customWidth="1"/>
    <col min="26" max="26" width="25.5703125" bestFit="1" customWidth="1"/>
    <col min="27" max="27" width="22.5703125" bestFit="1" customWidth="1"/>
    <col min="28" max="28" width="19.28515625" bestFit="1" customWidth="1"/>
    <col min="29" max="29" width="18.42578125" bestFit="1" customWidth="1"/>
    <col min="30" max="30" width="13.28515625" bestFit="1" customWidth="1"/>
    <col min="31" max="31" width="17.7109375" bestFit="1" customWidth="1"/>
    <col min="32" max="32" width="15.140625" bestFit="1" customWidth="1"/>
    <col min="33" max="33" width="21.5703125" bestFit="1" customWidth="1"/>
    <col min="34" max="34" width="13.42578125" bestFit="1" customWidth="1"/>
    <col min="35" max="35" width="12" bestFit="1" customWidth="1"/>
    <col min="36" max="36" width="17.7109375" bestFit="1" customWidth="1"/>
    <col min="37" max="37" width="24.42578125" bestFit="1" customWidth="1"/>
    <col min="38" max="38" width="12.5703125" bestFit="1" customWidth="1"/>
    <col min="39" max="39" width="16.42578125" bestFit="1" customWidth="1"/>
    <col min="40" max="40" width="22.85546875" bestFit="1" customWidth="1"/>
    <col min="41" max="41" width="18" bestFit="1" customWidth="1"/>
    <col min="42" max="42" width="24.7109375" bestFit="1" customWidth="1"/>
    <col min="43" max="43" width="13.7109375" bestFit="1" customWidth="1"/>
  </cols>
  <sheetData>
    <row r="1" spans="1:4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 x14ac:dyDescent="0.25">
      <c r="A2">
        <v>1</v>
      </c>
      <c r="B2" t="s">
        <v>82</v>
      </c>
      <c r="C2" t="s">
        <v>44</v>
      </c>
      <c r="D2" t="s">
        <v>82</v>
      </c>
      <c r="E2" t="s">
        <v>87</v>
      </c>
      <c r="F2" t="s">
        <v>45</v>
      </c>
      <c r="G2" t="s">
        <v>45</v>
      </c>
      <c r="H2">
        <v>1</v>
      </c>
      <c r="I2">
        <v>1</v>
      </c>
      <c r="J2">
        <v>394.50468000000006</v>
      </c>
      <c r="K2" s="6">
        <v>25729</v>
      </c>
      <c r="L2" s="6">
        <v>22056</v>
      </c>
      <c r="M2" s="6">
        <v>23279</v>
      </c>
      <c r="N2" s="6">
        <v>22163</v>
      </c>
      <c r="O2" s="6">
        <v>15745</v>
      </c>
      <c r="P2" s="6">
        <v>18811</v>
      </c>
      <c r="Q2" s="6">
        <v>16328</v>
      </c>
      <c r="R2" s="6">
        <v>13917</v>
      </c>
      <c r="S2" s="6">
        <v>17129</v>
      </c>
      <c r="T2" s="6">
        <v>16221</v>
      </c>
      <c r="U2" s="6">
        <v>17832</v>
      </c>
      <c r="V2" s="6">
        <v>18275</v>
      </c>
      <c r="W2">
        <v>7</v>
      </c>
      <c r="X2">
        <v>90</v>
      </c>
      <c r="Y2">
        <v>55721</v>
      </c>
      <c r="Z2">
        <v>55721</v>
      </c>
      <c r="AA2">
        <v>0</v>
      </c>
      <c r="AB2">
        <v>2370</v>
      </c>
      <c r="AC2">
        <v>1150.5</v>
      </c>
      <c r="AD2">
        <v>0</v>
      </c>
      <c r="AE2">
        <v>227485</v>
      </c>
      <c r="AF2">
        <v>227485</v>
      </c>
      <c r="AG2">
        <v>0.51455696202531642</v>
      </c>
      <c r="AH2">
        <v>539139450</v>
      </c>
      <c r="AI2">
        <v>261721492.5</v>
      </c>
      <c r="AJ2">
        <v>277417957.5</v>
      </c>
      <c r="AK2">
        <v>64107010.5</v>
      </c>
      <c r="AL2" s="4">
        <v>4.0825721002853506</v>
      </c>
      <c r="AM2">
        <f>12/AL2</f>
        <v>2.9393234718772665</v>
      </c>
      <c r="AN2" s="5">
        <v>18957.083333333332</v>
      </c>
      <c r="AO2" s="4">
        <v>642.81768500000021</v>
      </c>
      <c r="AQ2">
        <v>0.5</v>
      </c>
    </row>
    <row r="3" spans="1:44" x14ac:dyDescent="0.25">
      <c r="A3">
        <v>2</v>
      </c>
      <c r="B3" t="s">
        <v>82</v>
      </c>
      <c r="C3" t="s">
        <v>44</v>
      </c>
      <c r="D3" t="s">
        <v>82</v>
      </c>
      <c r="E3" t="s">
        <v>88</v>
      </c>
      <c r="F3" t="s">
        <v>45</v>
      </c>
      <c r="G3" t="s">
        <v>45</v>
      </c>
      <c r="H3">
        <v>1</v>
      </c>
      <c r="I3">
        <v>1</v>
      </c>
      <c r="J3">
        <v>51.839760000000012</v>
      </c>
      <c r="K3" s="6">
        <v>12628</v>
      </c>
      <c r="L3" s="6">
        <v>11238</v>
      </c>
      <c r="M3" s="6">
        <v>11262</v>
      </c>
      <c r="N3" s="6">
        <v>11080</v>
      </c>
      <c r="O3" s="6">
        <v>6925</v>
      </c>
      <c r="P3" s="6">
        <v>11836</v>
      </c>
      <c r="Q3" s="6">
        <v>11769</v>
      </c>
      <c r="R3" s="6">
        <v>34530</v>
      </c>
      <c r="S3" s="6">
        <v>12688</v>
      </c>
      <c r="T3" s="6">
        <v>14065</v>
      </c>
      <c r="U3" s="6">
        <v>7640</v>
      </c>
      <c r="V3" s="6">
        <v>8633</v>
      </c>
      <c r="W3">
        <v>9</v>
      </c>
      <c r="X3">
        <v>90</v>
      </c>
      <c r="Y3">
        <v>7322</v>
      </c>
      <c r="Z3">
        <v>7322</v>
      </c>
      <c r="AA3">
        <v>0</v>
      </c>
      <c r="AB3">
        <v>2370</v>
      </c>
      <c r="AC3">
        <v>1034.47</v>
      </c>
      <c r="AD3">
        <v>0</v>
      </c>
      <c r="AE3">
        <v>154294</v>
      </c>
      <c r="AF3">
        <v>154294</v>
      </c>
      <c r="AG3">
        <v>0.56351476793248945</v>
      </c>
      <c r="AH3">
        <v>365676780</v>
      </c>
      <c r="AI3">
        <v>159612514.18000001</v>
      </c>
      <c r="AJ3">
        <v>206064265.81999999</v>
      </c>
      <c r="AK3">
        <v>7574389.3399999999</v>
      </c>
      <c r="AL3" s="4">
        <v>21.072657743785854</v>
      </c>
      <c r="AM3">
        <f t="shared" ref="AM3:AM66" si="0">12/AL3</f>
        <v>0.56945830686870513</v>
      </c>
      <c r="AN3" s="5">
        <v>12857.833333333334</v>
      </c>
      <c r="AO3" s="4">
        <v>84.547885000000022</v>
      </c>
      <c r="AQ3">
        <v>0.5</v>
      </c>
    </row>
    <row r="4" spans="1:44" x14ac:dyDescent="0.25">
      <c r="A4">
        <v>3</v>
      </c>
      <c r="B4" t="s">
        <v>82</v>
      </c>
      <c r="C4" t="s">
        <v>44</v>
      </c>
      <c r="D4" t="s">
        <v>82</v>
      </c>
      <c r="E4" t="s">
        <v>89</v>
      </c>
      <c r="F4" t="s">
        <v>45</v>
      </c>
      <c r="G4" t="s">
        <v>45</v>
      </c>
      <c r="H4">
        <v>1</v>
      </c>
      <c r="I4">
        <v>1</v>
      </c>
      <c r="J4">
        <v>0.84193000000000018</v>
      </c>
      <c r="K4" s="6">
        <v>9807</v>
      </c>
      <c r="L4" s="6">
        <v>9763</v>
      </c>
      <c r="M4" s="6">
        <v>17144</v>
      </c>
      <c r="N4" s="6">
        <v>16282</v>
      </c>
      <c r="O4" s="6">
        <v>12090</v>
      </c>
      <c r="P4" s="6">
        <v>10711</v>
      </c>
      <c r="Q4" s="6">
        <v>8353</v>
      </c>
      <c r="R4" s="6">
        <v>7040</v>
      </c>
      <c r="S4" s="6">
        <v>8213</v>
      </c>
      <c r="T4" s="6">
        <v>7985</v>
      </c>
      <c r="U4" s="6">
        <v>9693</v>
      </c>
      <c r="V4" s="6">
        <v>9203</v>
      </c>
      <c r="W4">
        <v>7</v>
      </c>
      <c r="X4">
        <v>90</v>
      </c>
      <c r="Y4">
        <v>2854</v>
      </c>
      <c r="Z4">
        <v>2854</v>
      </c>
      <c r="AA4">
        <v>0</v>
      </c>
      <c r="AB4">
        <v>2100</v>
      </c>
      <c r="AC4">
        <v>1215.07</v>
      </c>
      <c r="AD4">
        <v>0</v>
      </c>
      <c r="AE4">
        <v>126284</v>
      </c>
      <c r="AF4">
        <v>126284</v>
      </c>
      <c r="AG4">
        <v>0.4213952380952381</v>
      </c>
      <c r="AH4">
        <v>265196400</v>
      </c>
      <c r="AI4">
        <v>153443899.88</v>
      </c>
      <c r="AJ4">
        <v>111752500.12</v>
      </c>
      <c r="AK4">
        <v>3467809.78</v>
      </c>
      <c r="AL4" s="4">
        <v>44.248072880168188</v>
      </c>
      <c r="AM4">
        <f t="shared" si="0"/>
        <v>0.2711982515599759</v>
      </c>
      <c r="AN4" s="5">
        <v>10523.666666666666</v>
      </c>
      <c r="AO4" s="4">
        <v>8.3048400000000022</v>
      </c>
      <c r="AQ4">
        <v>0.5</v>
      </c>
    </row>
    <row r="5" spans="1:44" x14ac:dyDescent="0.25">
      <c r="A5">
        <v>4</v>
      </c>
      <c r="B5" t="s">
        <v>82</v>
      </c>
      <c r="C5" t="s">
        <v>44</v>
      </c>
      <c r="D5" t="s">
        <v>82</v>
      </c>
      <c r="E5" t="s">
        <v>90</v>
      </c>
      <c r="F5" t="s">
        <v>45</v>
      </c>
      <c r="G5" t="s">
        <v>45</v>
      </c>
      <c r="H5">
        <v>1</v>
      </c>
      <c r="I5">
        <v>1</v>
      </c>
      <c r="J5">
        <v>0.17700000000000002</v>
      </c>
      <c r="K5" s="6">
        <v>4336</v>
      </c>
      <c r="L5" s="6">
        <v>2800</v>
      </c>
      <c r="M5" s="6">
        <v>2887</v>
      </c>
      <c r="N5" s="6">
        <v>3520</v>
      </c>
      <c r="O5" s="6">
        <v>4147</v>
      </c>
      <c r="P5" s="6">
        <v>2961</v>
      </c>
      <c r="Q5" s="6">
        <v>3816</v>
      </c>
      <c r="R5" s="6">
        <v>2859</v>
      </c>
      <c r="S5" s="6">
        <v>2967</v>
      </c>
      <c r="T5" s="6">
        <v>4444</v>
      </c>
      <c r="U5" s="6">
        <v>3143</v>
      </c>
      <c r="V5" s="6">
        <v>2333</v>
      </c>
      <c r="W5">
        <v>2</v>
      </c>
      <c r="X5">
        <v>90</v>
      </c>
      <c r="Y5">
        <v>25</v>
      </c>
      <c r="Z5">
        <v>25</v>
      </c>
      <c r="AA5">
        <v>0</v>
      </c>
      <c r="AB5">
        <v>3800</v>
      </c>
      <c r="AC5">
        <v>1508.87</v>
      </c>
      <c r="AD5">
        <v>0</v>
      </c>
      <c r="AE5">
        <v>40213</v>
      </c>
      <c r="AF5">
        <v>40213</v>
      </c>
      <c r="AG5">
        <v>0.60292894736842106</v>
      </c>
      <c r="AH5">
        <v>152809400</v>
      </c>
      <c r="AI5">
        <v>60676189.309999995</v>
      </c>
      <c r="AJ5">
        <v>92133210.689999998</v>
      </c>
      <c r="AK5">
        <v>37721.75</v>
      </c>
      <c r="AL5" s="4">
        <v>1608.5199999999998</v>
      </c>
      <c r="AM5">
        <f t="shared" si="0"/>
        <v>7.4602740407330977E-3</v>
      </c>
      <c r="AN5" s="5">
        <v>3351.0833333333335</v>
      </c>
      <c r="AO5" s="4">
        <v>0.34603500000000009</v>
      </c>
      <c r="AQ5">
        <v>0.5</v>
      </c>
    </row>
    <row r="6" spans="1:44" x14ac:dyDescent="0.25">
      <c r="A6">
        <v>5</v>
      </c>
      <c r="B6" t="s">
        <v>82</v>
      </c>
      <c r="C6" t="s">
        <v>44</v>
      </c>
      <c r="D6" t="s">
        <v>82</v>
      </c>
      <c r="E6" t="s">
        <v>91</v>
      </c>
      <c r="F6" t="s">
        <v>45</v>
      </c>
      <c r="G6" t="s">
        <v>45</v>
      </c>
      <c r="H6">
        <v>1</v>
      </c>
      <c r="I6">
        <v>1</v>
      </c>
      <c r="J6">
        <v>71.246040000000008</v>
      </c>
      <c r="K6" s="6">
        <v>2493</v>
      </c>
      <c r="L6" s="6">
        <v>1680</v>
      </c>
      <c r="M6" s="6">
        <v>2406</v>
      </c>
      <c r="N6" s="6">
        <v>1999</v>
      </c>
      <c r="O6" s="6">
        <v>2387</v>
      </c>
      <c r="P6" s="6">
        <v>122</v>
      </c>
      <c r="Q6" s="6">
        <v>1915</v>
      </c>
      <c r="R6" s="6">
        <v>2082</v>
      </c>
      <c r="S6" s="6">
        <v>2765</v>
      </c>
      <c r="T6" s="6">
        <v>3859</v>
      </c>
      <c r="U6" s="6">
        <v>2371</v>
      </c>
      <c r="V6" s="6">
        <v>2725</v>
      </c>
      <c r="W6">
        <v>13</v>
      </c>
      <c r="X6">
        <v>90</v>
      </c>
      <c r="Y6">
        <v>10063</v>
      </c>
      <c r="Z6">
        <v>10063</v>
      </c>
      <c r="AA6">
        <v>0</v>
      </c>
      <c r="AB6">
        <v>3800</v>
      </c>
      <c r="AC6">
        <v>1229.0899999999999</v>
      </c>
      <c r="AD6">
        <v>0</v>
      </c>
      <c r="AE6">
        <v>26804</v>
      </c>
      <c r="AF6">
        <v>26804</v>
      </c>
      <c r="AG6">
        <v>0.67655526315789472</v>
      </c>
      <c r="AH6">
        <v>101855200</v>
      </c>
      <c r="AI6">
        <v>32944528.359999999</v>
      </c>
      <c r="AJ6">
        <v>68910671.640000001</v>
      </c>
      <c r="AK6">
        <v>12368332.67</v>
      </c>
      <c r="AL6" s="4">
        <v>2.6636191990460101</v>
      </c>
      <c r="AM6">
        <f t="shared" si="0"/>
        <v>4.5051484853007011</v>
      </c>
      <c r="AN6" s="5">
        <v>2233.6666666666665</v>
      </c>
      <c r="AO6" s="4">
        <v>116.15241500000003</v>
      </c>
      <c r="AQ6">
        <v>0.5</v>
      </c>
    </row>
    <row r="7" spans="1:44" x14ac:dyDescent="0.25">
      <c r="A7">
        <v>6</v>
      </c>
      <c r="B7" t="s">
        <v>82</v>
      </c>
      <c r="C7" t="s">
        <v>44</v>
      </c>
      <c r="D7" t="s">
        <v>82</v>
      </c>
      <c r="E7" t="s">
        <v>92</v>
      </c>
      <c r="F7" t="s">
        <v>45</v>
      </c>
      <c r="G7" t="s">
        <v>45</v>
      </c>
      <c r="H7">
        <v>1</v>
      </c>
      <c r="I7">
        <v>1</v>
      </c>
      <c r="J7">
        <v>46.097880000000011</v>
      </c>
      <c r="K7" s="6">
        <v>4072</v>
      </c>
      <c r="L7" s="6">
        <v>1992</v>
      </c>
      <c r="M7" s="6">
        <v>1776</v>
      </c>
      <c r="N7" s="6">
        <v>2359</v>
      </c>
      <c r="O7" s="6">
        <v>2323</v>
      </c>
      <c r="P7" s="6">
        <v>1727</v>
      </c>
      <c r="Q7" s="6">
        <v>2751</v>
      </c>
      <c r="R7" s="6">
        <v>1424</v>
      </c>
      <c r="S7" s="6">
        <v>1310</v>
      </c>
      <c r="T7" s="6">
        <v>1507</v>
      </c>
      <c r="U7" s="6">
        <v>3191</v>
      </c>
      <c r="V7" s="6">
        <v>1916</v>
      </c>
      <c r="W7">
        <v>7</v>
      </c>
      <c r="X7">
        <v>90</v>
      </c>
      <c r="Y7">
        <v>6511</v>
      </c>
      <c r="Z7">
        <v>6511</v>
      </c>
      <c r="AA7">
        <v>0</v>
      </c>
      <c r="AB7">
        <v>3800</v>
      </c>
      <c r="AC7">
        <v>1233.6199999999999</v>
      </c>
      <c r="AD7">
        <v>0</v>
      </c>
      <c r="AE7">
        <v>26348</v>
      </c>
      <c r="AF7">
        <v>26348</v>
      </c>
      <c r="AG7">
        <v>0.67536315789473689</v>
      </c>
      <c r="AH7">
        <v>100122400</v>
      </c>
      <c r="AI7">
        <v>32503419.759999998</v>
      </c>
      <c r="AJ7">
        <v>67618980.24000001</v>
      </c>
      <c r="AK7">
        <v>8032099.8199999994</v>
      </c>
      <c r="AL7" s="4">
        <v>4.0466902165565966</v>
      </c>
      <c r="AM7">
        <f t="shared" si="0"/>
        <v>2.965386367086686</v>
      </c>
      <c r="AN7" s="5">
        <v>2195.6666666666665</v>
      </c>
      <c r="AO7" s="4">
        <v>75.204940000000022</v>
      </c>
      <c r="AQ7">
        <v>0.5</v>
      </c>
    </row>
    <row r="8" spans="1:44" x14ac:dyDescent="0.25">
      <c r="A8">
        <v>7</v>
      </c>
      <c r="B8" t="s">
        <v>82</v>
      </c>
      <c r="C8" t="s">
        <v>44</v>
      </c>
      <c r="D8" t="s">
        <v>82</v>
      </c>
      <c r="E8" t="s">
        <v>93</v>
      </c>
      <c r="F8" t="s">
        <v>45</v>
      </c>
      <c r="G8" t="s">
        <v>45</v>
      </c>
      <c r="H8">
        <v>1</v>
      </c>
      <c r="I8">
        <v>1</v>
      </c>
      <c r="J8">
        <v>23.470200000000006</v>
      </c>
      <c r="K8" s="6">
        <v>3348</v>
      </c>
      <c r="L8" s="6">
        <v>2096</v>
      </c>
      <c r="M8" s="6">
        <v>2214</v>
      </c>
      <c r="N8" s="6">
        <v>2919</v>
      </c>
      <c r="O8" s="6">
        <v>2040</v>
      </c>
      <c r="P8" s="6">
        <v>1949</v>
      </c>
      <c r="Q8" s="6">
        <v>1674</v>
      </c>
      <c r="R8" s="6">
        <v>1076</v>
      </c>
      <c r="S8" s="6">
        <v>1701</v>
      </c>
      <c r="T8" s="6">
        <v>2111</v>
      </c>
      <c r="U8" s="6">
        <v>1762</v>
      </c>
      <c r="V8" s="6">
        <v>1588</v>
      </c>
      <c r="W8">
        <v>8</v>
      </c>
      <c r="X8">
        <v>90</v>
      </c>
      <c r="Y8">
        <v>3315</v>
      </c>
      <c r="Z8">
        <v>3315</v>
      </c>
      <c r="AA8">
        <v>0</v>
      </c>
      <c r="AB8">
        <v>3800</v>
      </c>
      <c r="AC8">
        <v>1194.23</v>
      </c>
      <c r="AD8">
        <v>0</v>
      </c>
      <c r="AE8">
        <v>24478</v>
      </c>
      <c r="AF8">
        <v>24478</v>
      </c>
      <c r="AG8">
        <v>0.68572894736842105</v>
      </c>
      <c r="AH8">
        <v>93016400</v>
      </c>
      <c r="AI8">
        <v>29232361.940000001</v>
      </c>
      <c r="AJ8">
        <v>63784038.060000002</v>
      </c>
      <c r="AK8">
        <v>3958872.45</v>
      </c>
      <c r="AL8" s="4">
        <v>7.384012066365008</v>
      </c>
      <c r="AM8">
        <f t="shared" si="0"/>
        <v>1.6251327722853173</v>
      </c>
      <c r="AN8" s="5">
        <v>2039.8333333333333</v>
      </c>
      <c r="AO8" s="4">
        <v>38.294540000000012</v>
      </c>
      <c r="AQ8">
        <v>0.5</v>
      </c>
    </row>
    <row r="9" spans="1:44" x14ac:dyDescent="0.25">
      <c r="A9">
        <v>8</v>
      </c>
      <c r="B9" t="s">
        <v>82</v>
      </c>
      <c r="C9" t="s">
        <v>44</v>
      </c>
      <c r="D9" t="s">
        <v>82</v>
      </c>
      <c r="E9" t="s">
        <v>94</v>
      </c>
      <c r="F9" t="s">
        <v>45</v>
      </c>
      <c r="G9" t="s">
        <v>45</v>
      </c>
      <c r="H9">
        <v>1</v>
      </c>
      <c r="I9">
        <v>1</v>
      </c>
      <c r="J9">
        <v>28.475760000000005</v>
      </c>
      <c r="K9" s="6">
        <v>3647</v>
      </c>
      <c r="L9" s="6">
        <v>2965</v>
      </c>
      <c r="M9" s="6">
        <v>3612</v>
      </c>
      <c r="N9" s="6">
        <v>3085</v>
      </c>
      <c r="O9" s="6">
        <v>2720</v>
      </c>
      <c r="P9" s="6">
        <v>2938</v>
      </c>
      <c r="Q9" s="6">
        <v>3670</v>
      </c>
      <c r="R9" s="6">
        <v>2584</v>
      </c>
      <c r="S9" s="6">
        <v>3656</v>
      </c>
      <c r="T9" s="6">
        <v>3079</v>
      </c>
      <c r="U9" s="6">
        <v>3464</v>
      </c>
      <c r="V9" s="6">
        <v>3412</v>
      </c>
      <c r="W9">
        <v>3</v>
      </c>
      <c r="X9">
        <v>90</v>
      </c>
      <c r="Y9">
        <v>4022</v>
      </c>
      <c r="Z9">
        <v>4022</v>
      </c>
      <c r="AA9">
        <v>0</v>
      </c>
      <c r="AB9">
        <v>2370</v>
      </c>
      <c r="AC9">
        <v>1235.6099999999999</v>
      </c>
      <c r="AD9">
        <v>0</v>
      </c>
      <c r="AE9">
        <v>38832</v>
      </c>
      <c r="AF9">
        <v>38832</v>
      </c>
      <c r="AG9">
        <v>0.47864556962025318</v>
      </c>
      <c r="AH9">
        <v>92031840</v>
      </c>
      <c r="AI9">
        <v>47981207.519999996</v>
      </c>
      <c r="AJ9">
        <v>44050632.480000004</v>
      </c>
      <c r="AK9">
        <v>4969623.42</v>
      </c>
      <c r="AL9" s="4">
        <v>9.6548980606663353</v>
      </c>
      <c r="AM9">
        <f t="shared" si="0"/>
        <v>1.2428924598269468</v>
      </c>
      <c r="AN9" s="5">
        <v>3236</v>
      </c>
      <c r="AO9" s="4">
        <v>46.484035000000013</v>
      </c>
      <c r="AQ9">
        <v>0.5</v>
      </c>
    </row>
    <row r="10" spans="1:44" x14ac:dyDescent="0.25">
      <c r="A10">
        <v>9</v>
      </c>
      <c r="B10" t="s">
        <v>83</v>
      </c>
      <c r="C10" t="s">
        <v>44</v>
      </c>
      <c r="D10" t="s">
        <v>83</v>
      </c>
      <c r="E10" t="s">
        <v>95</v>
      </c>
      <c r="F10" t="s">
        <v>45</v>
      </c>
      <c r="G10" t="s">
        <v>45</v>
      </c>
      <c r="H10">
        <v>1</v>
      </c>
      <c r="I10">
        <v>1</v>
      </c>
      <c r="J10">
        <v>76.003199999999993</v>
      </c>
      <c r="K10" s="6">
        <v>70.749589490968802</v>
      </c>
      <c r="L10" s="6">
        <v>88.633415435139582</v>
      </c>
      <c r="M10" s="6">
        <v>74.005747126436788</v>
      </c>
      <c r="N10" s="6">
        <v>80.760262725779967</v>
      </c>
      <c r="O10" s="6">
        <v>98.01272577996717</v>
      </c>
      <c r="P10" s="6">
        <v>78.343185550082111</v>
      </c>
      <c r="Q10" s="6">
        <v>67.88095238095238</v>
      </c>
      <c r="R10" s="6">
        <v>81.154351395730714</v>
      </c>
      <c r="S10" s="6">
        <v>79.622331691297205</v>
      </c>
      <c r="T10" s="6">
        <v>81.916256157635473</v>
      </c>
      <c r="U10" s="6">
        <v>81.911330049261082</v>
      </c>
      <c r="V10" s="6">
        <v>48.745484400656821</v>
      </c>
      <c r="W10">
        <v>0</v>
      </c>
      <c r="X10">
        <v>90</v>
      </c>
      <c r="Y10">
        <v>390</v>
      </c>
      <c r="Z10">
        <v>390</v>
      </c>
      <c r="AA10">
        <v>0</v>
      </c>
      <c r="AB10">
        <v>85260</v>
      </c>
      <c r="AC10">
        <v>54693.81</v>
      </c>
      <c r="AD10">
        <v>0</v>
      </c>
      <c r="AE10">
        <v>931.73563218390814</v>
      </c>
      <c r="AF10">
        <v>931.73563218390814</v>
      </c>
      <c r="AG10">
        <v>0.35850562983814221</v>
      </c>
      <c r="AH10">
        <v>79439780.000000015</v>
      </c>
      <c r="AI10">
        <v>50960171.636896558</v>
      </c>
      <c r="AJ10">
        <v>28479608.363103457</v>
      </c>
      <c r="AK10">
        <v>21330585.899999999</v>
      </c>
      <c r="AL10" s="4">
        <v>2.3890657235484825</v>
      </c>
      <c r="AM10">
        <f t="shared" si="0"/>
        <v>5.022884000937565</v>
      </c>
      <c r="AN10" s="5">
        <v>77.644636015325673</v>
      </c>
      <c r="AO10" s="4">
        <v>76.003199999999993</v>
      </c>
      <c r="AQ10">
        <v>0.5</v>
      </c>
    </row>
    <row r="11" spans="1:44" x14ac:dyDescent="0.25">
      <c r="A11">
        <v>10</v>
      </c>
      <c r="B11" t="s">
        <v>82</v>
      </c>
      <c r="C11" t="s">
        <v>44</v>
      </c>
      <c r="D11" t="s">
        <v>82</v>
      </c>
      <c r="E11" t="s">
        <v>96</v>
      </c>
      <c r="F11" t="s">
        <v>45</v>
      </c>
      <c r="G11" t="s">
        <v>45</v>
      </c>
      <c r="H11">
        <v>1</v>
      </c>
      <c r="I11">
        <v>1</v>
      </c>
      <c r="J11">
        <v>27.527040000000003</v>
      </c>
      <c r="K11" s="6">
        <v>3041</v>
      </c>
      <c r="L11" s="6">
        <v>2309</v>
      </c>
      <c r="M11" s="6">
        <v>2223</v>
      </c>
      <c r="N11" s="6">
        <v>2011</v>
      </c>
      <c r="O11" s="6">
        <v>3137</v>
      </c>
      <c r="P11" s="6">
        <v>3947</v>
      </c>
      <c r="Q11" s="6">
        <v>3508</v>
      </c>
      <c r="R11" s="6">
        <v>2847</v>
      </c>
      <c r="S11" s="6">
        <v>1901</v>
      </c>
      <c r="T11" s="6">
        <v>2175</v>
      </c>
      <c r="U11" s="6">
        <v>2290</v>
      </c>
      <c r="V11" s="6">
        <v>2629</v>
      </c>
      <c r="W11">
        <v>55</v>
      </c>
      <c r="X11">
        <v>90</v>
      </c>
      <c r="Y11">
        <v>3888</v>
      </c>
      <c r="Z11">
        <v>3888</v>
      </c>
      <c r="AA11">
        <v>0</v>
      </c>
      <c r="AB11">
        <v>2370</v>
      </c>
      <c r="AC11">
        <v>1092.58</v>
      </c>
      <c r="AD11">
        <v>0</v>
      </c>
      <c r="AE11">
        <v>32018</v>
      </c>
      <c r="AF11">
        <v>32018</v>
      </c>
      <c r="AG11">
        <v>0.53899578059071729</v>
      </c>
      <c r="AH11">
        <v>75882660</v>
      </c>
      <c r="AI11">
        <v>34982226.439999998</v>
      </c>
      <c r="AJ11">
        <v>40900433.560000002</v>
      </c>
      <c r="AK11">
        <v>4247951.04</v>
      </c>
      <c r="AL11" s="4">
        <v>8.2350823045267489</v>
      </c>
      <c r="AM11">
        <f t="shared" si="0"/>
        <v>1.4571803360609656</v>
      </c>
      <c r="AN11" s="5">
        <v>2668.1666666666665</v>
      </c>
      <c r="AO11" s="4">
        <v>44.869205000000015</v>
      </c>
      <c r="AQ11">
        <v>0.5</v>
      </c>
    </row>
    <row r="12" spans="1:44" x14ac:dyDescent="0.25">
      <c r="A12">
        <v>11</v>
      </c>
      <c r="B12" t="s">
        <v>84</v>
      </c>
      <c r="C12" t="s">
        <v>44</v>
      </c>
      <c r="D12" t="s">
        <v>84</v>
      </c>
      <c r="E12" t="s">
        <v>97</v>
      </c>
      <c r="F12" t="s">
        <v>45</v>
      </c>
      <c r="G12" t="s">
        <v>45</v>
      </c>
      <c r="H12">
        <v>1</v>
      </c>
      <c r="I12">
        <v>1</v>
      </c>
      <c r="J12">
        <v>0</v>
      </c>
      <c r="K12" s="6">
        <v>1882</v>
      </c>
      <c r="L12" s="6">
        <v>1498</v>
      </c>
      <c r="M12" s="6">
        <v>1942</v>
      </c>
      <c r="N12" s="6">
        <v>1613</v>
      </c>
      <c r="O12" s="6">
        <v>1570</v>
      </c>
      <c r="P12" s="6">
        <v>1632</v>
      </c>
      <c r="Q12" s="6">
        <v>1635</v>
      </c>
      <c r="R12" s="6">
        <v>1763</v>
      </c>
      <c r="S12" s="6">
        <v>1288</v>
      </c>
      <c r="T12" s="6">
        <v>1782</v>
      </c>
      <c r="U12" s="6">
        <v>1722</v>
      </c>
      <c r="V12" s="6">
        <v>1498</v>
      </c>
      <c r="W12">
        <v>5</v>
      </c>
      <c r="X12">
        <v>90</v>
      </c>
      <c r="Y12">
        <v>0</v>
      </c>
      <c r="Z12">
        <v>0</v>
      </c>
      <c r="AA12">
        <v>0</v>
      </c>
      <c r="AB12">
        <v>3528</v>
      </c>
      <c r="AC12">
        <v>981.98</v>
      </c>
      <c r="AD12">
        <v>0</v>
      </c>
      <c r="AE12">
        <v>19825</v>
      </c>
      <c r="AF12">
        <v>19825</v>
      </c>
      <c r="AG12">
        <v>0.72166099773242631</v>
      </c>
      <c r="AH12">
        <v>69942600</v>
      </c>
      <c r="AI12">
        <v>19467753.5</v>
      </c>
      <c r="AJ12">
        <v>50474846.5</v>
      </c>
      <c r="AK12">
        <v>0</v>
      </c>
      <c r="AL12" s="4">
        <v>0</v>
      </c>
      <c r="AM12">
        <v>0</v>
      </c>
      <c r="AN12" s="5">
        <v>1652.0833333333333</v>
      </c>
      <c r="AO12" s="4">
        <v>0</v>
      </c>
      <c r="AQ12">
        <v>0.5</v>
      </c>
    </row>
    <row r="13" spans="1:44" x14ac:dyDescent="0.25">
      <c r="A13">
        <v>12</v>
      </c>
      <c r="B13" t="s">
        <v>82</v>
      </c>
      <c r="C13" t="s">
        <v>44</v>
      </c>
      <c r="D13" t="s">
        <v>82</v>
      </c>
      <c r="E13" t="s">
        <v>98</v>
      </c>
      <c r="F13" t="s">
        <v>45</v>
      </c>
      <c r="G13" t="s">
        <v>45</v>
      </c>
      <c r="H13">
        <v>1</v>
      </c>
      <c r="I13">
        <v>1</v>
      </c>
      <c r="J13">
        <v>56.625840000000011</v>
      </c>
      <c r="K13" s="6">
        <v>2550</v>
      </c>
      <c r="L13" s="6">
        <v>2686</v>
      </c>
      <c r="M13" s="6">
        <v>1676</v>
      </c>
      <c r="N13" s="6">
        <v>2392</v>
      </c>
      <c r="O13" s="6">
        <v>2282</v>
      </c>
      <c r="P13" s="6">
        <v>2420</v>
      </c>
      <c r="Q13" s="6">
        <v>2849</v>
      </c>
      <c r="R13" s="6">
        <v>2189</v>
      </c>
      <c r="S13" s="6">
        <v>2016</v>
      </c>
      <c r="T13" s="6">
        <v>2321</v>
      </c>
      <c r="U13" s="6">
        <v>3224</v>
      </c>
      <c r="V13" s="6">
        <v>2695</v>
      </c>
      <c r="W13">
        <v>13</v>
      </c>
      <c r="X13">
        <v>90</v>
      </c>
      <c r="Y13">
        <v>7998</v>
      </c>
      <c r="Z13">
        <v>7998</v>
      </c>
      <c r="AA13">
        <v>0</v>
      </c>
      <c r="AB13">
        <v>2370</v>
      </c>
      <c r="AC13">
        <v>1219.42</v>
      </c>
      <c r="AD13">
        <v>0</v>
      </c>
      <c r="AE13">
        <v>29300</v>
      </c>
      <c r="AF13">
        <v>29300</v>
      </c>
      <c r="AG13">
        <v>0.4854767932489451</v>
      </c>
      <c r="AH13">
        <v>69441000</v>
      </c>
      <c r="AI13">
        <v>35729006</v>
      </c>
      <c r="AJ13">
        <v>33711994</v>
      </c>
      <c r="AK13">
        <v>9752921.1600000001</v>
      </c>
      <c r="AL13" s="4">
        <v>3.6634158539634907</v>
      </c>
      <c r="AM13">
        <f t="shared" si="0"/>
        <v>3.2756313993174064</v>
      </c>
      <c r="AN13" s="5">
        <v>2441.6666666666665</v>
      </c>
      <c r="AO13" s="4">
        <v>92.276000000000025</v>
      </c>
      <c r="AQ13">
        <v>0.5</v>
      </c>
    </row>
    <row r="14" spans="1:44" x14ac:dyDescent="0.25">
      <c r="A14">
        <v>13</v>
      </c>
      <c r="B14" t="s">
        <v>84</v>
      </c>
      <c r="C14" t="s">
        <v>44</v>
      </c>
      <c r="D14" t="s">
        <v>84</v>
      </c>
      <c r="E14" t="s">
        <v>99</v>
      </c>
      <c r="F14" t="s">
        <v>45</v>
      </c>
      <c r="G14" t="s">
        <v>45</v>
      </c>
      <c r="H14">
        <v>1</v>
      </c>
      <c r="I14">
        <v>1</v>
      </c>
      <c r="J14">
        <v>0.18240000000000001</v>
      </c>
      <c r="K14" s="6">
        <v>1648</v>
      </c>
      <c r="L14" s="6">
        <v>982</v>
      </c>
      <c r="M14" s="6">
        <v>928</v>
      </c>
      <c r="N14" s="6">
        <v>1177</v>
      </c>
      <c r="O14" s="6">
        <v>1121</v>
      </c>
      <c r="P14" s="6">
        <v>1200</v>
      </c>
      <c r="Q14" s="6">
        <v>1251</v>
      </c>
      <c r="R14" s="6">
        <v>577</v>
      </c>
      <c r="S14" s="6">
        <v>921</v>
      </c>
      <c r="T14" s="6">
        <v>1333</v>
      </c>
      <c r="U14" s="6">
        <v>1374</v>
      </c>
      <c r="V14" s="6">
        <v>1134</v>
      </c>
      <c r="W14">
        <v>1</v>
      </c>
      <c r="X14">
        <v>90</v>
      </c>
      <c r="Y14">
        <v>380</v>
      </c>
      <c r="Z14">
        <v>380</v>
      </c>
      <c r="AA14">
        <v>0</v>
      </c>
      <c r="AB14">
        <v>4250</v>
      </c>
      <c r="AC14">
        <v>2297.83</v>
      </c>
      <c r="AD14">
        <v>0</v>
      </c>
      <c r="AE14">
        <v>13646</v>
      </c>
      <c r="AF14">
        <v>13646</v>
      </c>
      <c r="AG14">
        <v>0.45933411764705878</v>
      </c>
      <c r="AH14">
        <v>57995500</v>
      </c>
      <c r="AI14">
        <v>31356188.18</v>
      </c>
      <c r="AJ14">
        <v>26639311.82</v>
      </c>
      <c r="AK14">
        <v>873175.4</v>
      </c>
      <c r="AL14" s="4">
        <v>35.910526315789475</v>
      </c>
      <c r="AM14">
        <f t="shared" si="0"/>
        <v>0.33416385754067124</v>
      </c>
      <c r="AN14" s="5">
        <v>1137.1666666666667</v>
      </c>
      <c r="AO14" s="4">
        <v>0.58344000000000007</v>
      </c>
      <c r="AQ14">
        <v>0.5</v>
      </c>
    </row>
    <row r="15" spans="1:44" x14ac:dyDescent="0.25">
      <c r="A15">
        <v>14</v>
      </c>
      <c r="B15" t="s">
        <v>83</v>
      </c>
      <c r="C15" t="s">
        <v>44</v>
      </c>
      <c r="D15" t="s">
        <v>83</v>
      </c>
      <c r="E15" t="s">
        <v>100</v>
      </c>
      <c r="F15" t="s">
        <v>45</v>
      </c>
      <c r="G15" t="s">
        <v>45</v>
      </c>
      <c r="H15">
        <v>1</v>
      </c>
      <c r="I15">
        <v>1</v>
      </c>
      <c r="J15">
        <v>6.4310400000000003</v>
      </c>
      <c r="K15" s="6">
        <v>52.882183908045981</v>
      </c>
      <c r="L15" s="6">
        <v>46.502873563218387</v>
      </c>
      <c r="M15" s="6">
        <v>46.628489326765184</v>
      </c>
      <c r="N15" s="6">
        <v>44.379310344827587</v>
      </c>
      <c r="O15" s="6">
        <v>61.253284072249592</v>
      </c>
      <c r="P15" s="6">
        <v>59.006157635467986</v>
      </c>
      <c r="Q15" s="6">
        <v>46.38095238095238</v>
      </c>
      <c r="R15" s="6">
        <v>42.250410509031198</v>
      </c>
      <c r="S15" s="6">
        <v>71.526272577996721</v>
      </c>
      <c r="T15" s="6">
        <v>56.049671592775034</v>
      </c>
      <c r="U15" s="6">
        <v>67.311576354679801</v>
      </c>
      <c r="V15" s="6">
        <v>71.440065681444992</v>
      </c>
      <c r="W15">
        <v>0</v>
      </c>
      <c r="X15">
        <v>90</v>
      </c>
      <c r="Y15">
        <v>33</v>
      </c>
      <c r="Z15">
        <v>33</v>
      </c>
      <c r="AA15">
        <v>0</v>
      </c>
      <c r="AB15">
        <v>85260</v>
      </c>
      <c r="AC15">
        <v>54693.81</v>
      </c>
      <c r="AD15">
        <v>0</v>
      </c>
      <c r="AE15">
        <v>665.61124794745479</v>
      </c>
      <c r="AF15">
        <v>665.61124794745479</v>
      </c>
      <c r="AG15">
        <v>0.35850562983814221</v>
      </c>
      <c r="AH15">
        <v>56750014.999999993</v>
      </c>
      <c r="AI15">
        <v>36404815.129100978</v>
      </c>
      <c r="AJ15">
        <v>20345199.870899014</v>
      </c>
      <c r="AK15">
        <v>1804895.73</v>
      </c>
      <c r="AL15" s="4">
        <v>20.170037816589538</v>
      </c>
      <c r="AM15">
        <f t="shared" si="0"/>
        <v>0.59494186917836067</v>
      </c>
      <c r="AN15" s="5">
        <v>55.467603995621232</v>
      </c>
      <c r="AO15" s="4">
        <v>6.4310400000000003</v>
      </c>
      <c r="AQ15">
        <v>0.5</v>
      </c>
    </row>
    <row r="16" spans="1:44" x14ac:dyDescent="0.25">
      <c r="A16">
        <v>15</v>
      </c>
      <c r="B16" t="s">
        <v>82</v>
      </c>
      <c r="C16" t="s">
        <v>44</v>
      </c>
      <c r="D16" t="s">
        <v>82</v>
      </c>
      <c r="E16" t="s">
        <v>101</v>
      </c>
      <c r="F16" t="s">
        <v>45</v>
      </c>
      <c r="G16" t="s">
        <v>45</v>
      </c>
      <c r="H16">
        <v>1</v>
      </c>
      <c r="I16">
        <v>1</v>
      </c>
      <c r="J16">
        <v>1.3304500000000004</v>
      </c>
      <c r="K16" s="6">
        <v>1314</v>
      </c>
      <c r="L16" s="6">
        <v>1626</v>
      </c>
      <c r="M16" s="6">
        <v>935</v>
      </c>
      <c r="N16" s="6">
        <v>1578</v>
      </c>
      <c r="O16" s="6">
        <v>2002</v>
      </c>
      <c r="P16" s="6">
        <v>1304</v>
      </c>
      <c r="Q16" s="6">
        <v>939</v>
      </c>
      <c r="R16" s="6">
        <v>919</v>
      </c>
      <c r="S16" s="6">
        <v>2918</v>
      </c>
      <c r="T16" s="6">
        <v>1591</v>
      </c>
      <c r="U16" s="6">
        <v>1519</v>
      </c>
      <c r="V16" s="6">
        <v>1387</v>
      </c>
      <c r="W16">
        <v>9</v>
      </c>
      <c r="X16">
        <v>90</v>
      </c>
      <c r="Y16">
        <v>4510</v>
      </c>
      <c r="Z16">
        <v>4510</v>
      </c>
      <c r="AA16">
        <v>0</v>
      </c>
      <c r="AB16">
        <v>3045</v>
      </c>
      <c r="AC16">
        <v>647.29999999999995</v>
      </c>
      <c r="AD16">
        <v>0</v>
      </c>
      <c r="AE16">
        <v>18032</v>
      </c>
      <c r="AF16">
        <v>18032</v>
      </c>
      <c r="AG16">
        <v>0.78742200328407219</v>
      </c>
      <c r="AH16">
        <v>54907440</v>
      </c>
      <c r="AI16">
        <v>11672113.6</v>
      </c>
      <c r="AJ16">
        <v>43235326.399999999</v>
      </c>
      <c r="AK16">
        <v>2919323</v>
      </c>
      <c r="AL16" s="4">
        <v>3.9982261640798225</v>
      </c>
      <c r="AM16">
        <f t="shared" si="0"/>
        <v>3.0013309671694768</v>
      </c>
      <c r="AN16" s="5">
        <v>1502.6666666666667</v>
      </c>
      <c r="AO16" s="4">
        <v>13.033985000000003</v>
      </c>
      <c r="AQ16">
        <v>0.5</v>
      </c>
    </row>
    <row r="17" spans="1:43" x14ac:dyDescent="0.25">
      <c r="A17">
        <v>16</v>
      </c>
      <c r="B17" t="s">
        <v>82</v>
      </c>
      <c r="C17" t="s">
        <v>44</v>
      </c>
      <c r="D17" t="s">
        <v>82</v>
      </c>
      <c r="E17" t="s">
        <v>102</v>
      </c>
      <c r="F17" t="s">
        <v>45</v>
      </c>
      <c r="G17" t="s">
        <v>45</v>
      </c>
      <c r="H17">
        <v>1</v>
      </c>
      <c r="I17">
        <v>1</v>
      </c>
      <c r="J17">
        <v>28.058040000000005</v>
      </c>
      <c r="K17" s="6">
        <v>1714</v>
      </c>
      <c r="L17" s="6">
        <v>1602</v>
      </c>
      <c r="M17" s="6">
        <v>2181</v>
      </c>
      <c r="N17" s="6">
        <v>1623</v>
      </c>
      <c r="O17" s="6">
        <v>2131</v>
      </c>
      <c r="P17" s="6">
        <v>1862</v>
      </c>
      <c r="Q17" s="6">
        <v>2069</v>
      </c>
      <c r="R17" s="6">
        <v>1689</v>
      </c>
      <c r="S17" s="6">
        <v>1967</v>
      </c>
      <c r="T17" s="6">
        <v>1543</v>
      </c>
      <c r="U17" s="6">
        <v>1439</v>
      </c>
      <c r="V17" s="6">
        <v>2628</v>
      </c>
      <c r="W17">
        <v>6</v>
      </c>
      <c r="X17">
        <v>90</v>
      </c>
      <c r="Y17">
        <v>3963</v>
      </c>
      <c r="Z17">
        <v>3963</v>
      </c>
      <c r="AA17">
        <v>0</v>
      </c>
      <c r="AB17">
        <v>2370</v>
      </c>
      <c r="AC17">
        <v>1223.72</v>
      </c>
      <c r="AD17">
        <v>0</v>
      </c>
      <c r="AE17">
        <v>22448</v>
      </c>
      <c r="AF17">
        <v>22448</v>
      </c>
      <c r="AG17">
        <v>0.48366244725738389</v>
      </c>
      <c r="AH17">
        <v>53201760</v>
      </c>
      <c r="AI17">
        <v>27470066.560000002</v>
      </c>
      <c r="AJ17">
        <v>25731693.439999998</v>
      </c>
      <c r="AK17">
        <v>4849602.3600000003</v>
      </c>
      <c r="AL17" s="4">
        <v>5.6643956598536462</v>
      </c>
      <c r="AM17">
        <f t="shared" si="0"/>
        <v>2.1184960798289381</v>
      </c>
      <c r="AN17" s="5">
        <v>1870.6666666666667</v>
      </c>
      <c r="AO17" s="4">
        <v>45.791965000000012</v>
      </c>
      <c r="AQ17">
        <v>0.5</v>
      </c>
    </row>
    <row r="18" spans="1:43" x14ac:dyDescent="0.25">
      <c r="A18">
        <v>17</v>
      </c>
      <c r="B18" t="s">
        <v>82</v>
      </c>
      <c r="C18" t="s">
        <v>44</v>
      </c>
      <c r="D18" t="s">
        <v>82</v>
      </c>
      <c r="E18" t="s">
        <v>103</v>
      </c>
      <c r="F18" t="s">
        <v>45</v>
      </c>
      <c r="G18" t="s">
        <v>45</v>
      </c>
      <c r="H18">
        <v>1</v>
      </c>
      <c r="I18">
        <v>1</v>
      </c>
      <c r="J18">
        <v>1.7714750000000004</v>
      </c>
      <c r="K18" s="6">
        <v>2602</v>
      </c>
      <c r="L18" s="6">
        <v>2558</v>
      </c>
      <c r="M18" s="6">
        <v>2146</v>
      </c>
      <c r="N18" s="6">
        <v>2073</v>
      </c>
      <c r="O18" s="6">
        <v>2141</v>
      </c>
      <c r="P18" s="6">
        <v>1167</v>
      </c>
      <c r="Q18" s="6">
        <v>2004</v>
      </c>
      <c r="R18" s="6">
        <v>2087</v>
      </c>
      <c r="S18" s="6">
        <v>1729</v>
      </c>
      <c r="T18" s="6">
        <v>2107</v>
      </c>
      <c r="U18" s="6">
        <v>1652</v>
      </c>
      <c r="V18" s="6">
        <v>1739</v>
      </c>
      <c r="W18">
        <v>7</v>
      </c>
      <c r="X18">
        <v>90</v>
      </c>
      <c r="Y18">
        <v>6005</v>
      </c>
      <c r="Z18">
        <v>6005</v>
      </c>
      <c r="AA18">
        <v>0</v>
      </c>
      <c r="AB18">
        <v>2200</v>
      </c>
      <c r="AC18">
        <v>588.04999999999995</v>
      </c>
      <c r="AD18">
        <v>0</v>
      </c>
      <c r="AE18">
        <v>24005</v>
      </c>
      <c r="AF18">
        <v>24005</v>
      </c>
      <c r="AG18">
        <v>0.73270454545454544</v>
      </c>
      <c r="AH18">
        <v>52811000</v>
      </c>
      <c r="AI18">
        <v>14116140.249999998</v>
      </c>
      <c r="AJ18">
        <v>38694859.75</v>
      </c>
      <c r="AK18">
        <v>3531240.2499999995</v>
      </c>
      <c r="AL18" s="4">
        <v>3.9975020815986677</v>
      </c>
      <c r="AM18">
        <f t="shared" si="0"/>
        <v>3.0018746094563631</v>
      </c>
      <c r="AN18" s="5">
        <v>2000.4166666666667</v>
      </c>
      <c r="AO18" s="4">
        <v>17.417095000000003</v>
      </c>
      <c r="AQ18">
        <v>0.5</v>
      </c>
    </row>
    <row r="19" spans="1:43" x14ac:dyDescent="0.25">
      <c r="A19">
        <v>18</v>
      </c>
      <c r="B19" t="s">
        <v>84</v>
      </c>
      <c r="C19" t="s">
        <v>44</v>
      </c>
      <c r="D19" t="s">
        <v>84</v>
      </c>
      <c r="E19" t="s">
        <v>104</v>
      </c>
      <c r="F19" t="s">
        <v>45</v>
      </c>
      <c r="G19" t="s">
        <v>45</v>
      </c>
      <c r="H19">
        <v>1</v>
      </c>
      <c r="I19">
        <v>1</v>
      </c>
      <c r="J19">
        <v>9.1392000000000015E-2</v>
      </c>
      <c r="K19" s="6">
        <v>1774</v>
      </c>
      <c r="L19" s="6">
        <v>750</v>
      </c>
      <c r="M19" s="6">
        <v>894</v>
      </c>
      <c r="N19" s="6">
        <v>1549</v>
      </c>
      <c r="O19" s="6">
        <v>1180</v>
      </c>
      <c r="P19" s="6">
        <v>812</v>
      </c>
      <c r="Q19" s="6">
        <v>1347</v>
      </c>
      <c r="R19" s="6">
        <v>1244</v>
      </c>
      <c r="S19" s="6">
        <v>1342</v>
      </c>
      <c r="T19" s="6">
        <v>856</v>
      </c>
      <c r="U19" s="6">
        <v>1413</v>
      </c>
      <c r="V19" s="6">
        <v>1696</v>
      </c>
      <c r="W19">
        <v>0</v>
      </c>
      <c r="X19">
        <v>90</v>
      </c>
      <c r="Y19">
        <v>224</v>
      </c>
      <c r="Z19">
        <v>224</v>
      </c>
      <c r="AA19">
        <v>0</v>
      </c>
      <c r="AB19">
        <v>3528</v>
      </c>
      <c r="AC19">
        <v>1082.97</v>
      </c>
      <c r="AD19">
        <v>0</v>
      </c>
      <c r="AE19">
        <v>14857</v>
      </c>
      <c r="AF19">
        <v>14857</v>
      </c>
      <c r="AG19">
        <v>0.6930357142857142</v>
      </c>
      <c r="AH19">
        <v>52415496</v>
      </c>
      <c r="AI19">
        <v>16089685.290000001</v>
      </c>
      <c r="AJ19">
        <v>36325810.710000001</v>
      </c>
      <c r="AK19">
        <v>242585.28</v>
      </c>
      <c r="AL19" s="4">
        <v>66.325892857142861</v>
      </c>
      <c r="AM19">
        <f t="shared" si="0"/>
        <v>0.18092481658477486</v>
      </c>
      <c r="AN19" s="5">
        <v>1238.0833333333333</v>
      </c>
      <c r="AO19" s="4">
        <v>0.35904000000000003</v>
      </c>
      <c r="AQ19">
        <v>0.5</v>
      </c>
    </row>
    <row r="20" spans="1:43" x14ac:dyDescent="0.25">
      <c r="A20">
        <v>19</v>
      </c>
      <c r="B20" t="s">
        <v>82</v>
      </c>
      <c r="C20" t="s">
        <v>44</v>
      </c>
      <c r="D20" t="s">
        <v>82</v>
      </c>
      <c r="E20" t="s">
        <v>105</v>
      </c>
      <c r="F20" t="s">
        <v>45</v>
      </c>
      <c r="G20" t="s">
        <v>45</v>
      </c>
      <c r="H20">
        <v>1</v>
      </c>
      <c r="I20">
        <v>1</v>
      </c>
      <c r="J20">
        <v>46.40232000000001</v>
      </c>
      <c r="K20" s="6">
        <v>487</v>
      </c>
      <c r="L20" s="6">
        <v>620</v>
      </c>
      <c r="M20" s="6">
        <v>1409</v>
      </c>
      <c r="N20" s="6">
        <v>414</v>
      </c>
      <c r="O20" s="6">
        <v>1263</v>
      </c>
      <c r="P20" s="6">
        <v>1112</v>
      </c>
      <c r="Q20" s="6">
        <v>867</v>
      </c>
      <c r="R20" s="6">
        <v>711</v>
      </c>
      <c r="S20" s="6">
        <v>2545</v>
      </c>
      <c r="T20" s="6">
        <v>1321</v>
      </c>
      <c r="U20" s="6">
        <v>1597</v>
      </c>
      <c r="V20" s="6">
        <v>892</v>
      </c>
      <c r="W20">
        <v>9</v>
      </c>
      <c r="X20">
        <v>90</v>
      </c>
      <c r="Y20">
        <v>6554</v>
      </c>
      <c r="Z20">
        <v>6554</v>
      </c>
      <c r="AA20">
        <v>0</v>
      </c>
      <c r="AB20">
        <v>3800</v>
      </c>
      <c r="AC20">
        <v>1224.69</v>
      </c>
      <c r="AD20">
        <v>0</v>
      </c>
      <c r="AE20">
        <v>13238</v>
      </c>
      <c r="AF20">
        <v>13238</v>
      </c>
      <c r="AG20">
        <v>0.67771315789473685</v>
      </c>
      <c r="AH20">
        <v>50304400</v>
      </c>
      <c r="AI20">
        <v>16212446.220000001</v>
      </c>
      <c r="AJ20">
        <v>34091953.780000001</v>
      </c>
      <c r="AK20">
        <v>8026618.2600000007</v>
      </c>
      <c r="AL20" s="4">
        <v>2.019835215135795</v>
      </c>
      <c r="AM20">
        <f t="shared" si="0"/>
        <v>5.9410787127964948</v>
      </c>
      <c r="AN20" s="5">
        <v>1103.1666666666667</v>
      </c>
      <c r="AO20" s="4">
        <v>75.666320000000013</v>
      </c>
      <c r="AQ20">
        <v>0.5</v>
      </c>
    </row>
    <row r="21" spans="1:43" x14ac:dyDescent="0.25">
      <c r="A21">
        <v>20</v>
      </c>
      <c r="B21" t="s">
        <v>82</v>
      </c>
      <c r="C21" t="s">
        <v>44</v>
      </c>
      <c r="D21" t="s">
        <v>82</v>
      </c>
      <c r="E21" t="s">
        <v>106</v>
      </c>
      <c r="F21" t="s">
        <v>45</v>
      </c>
      <c r="G21" t="s">
        <v>45</v>
      </c>
      <c r="H21">
        <v>1</v>
      </c>
      <c r="I21">
        <v>1</v>
      </c>
      <c r="J21">
        <v>43.230480000000007</v>
      </c>
      <c r="K21" s="6">
        <v>1467</v>
      </c>
      <c r="L21" s="6">
        <v>816</v>
      </c>
      <c r="M21" s="6">
        <v>1121</v>
      </c>
      <c r="N21" s="6">
        <v>1094</v>
      </c>
      <c r="O21" s="6">
        <v>614</v>
      </c>
      <c r="P21" s="6">
        <v>728</v>
      </c>
      <c r="Q21" s="6">
        <v>612</v>
      </c>
      <c r="R21" s="6">
        <v>988</v>
      </c>
      <c r="S21" s="6">
        <v>961</v>
      </c>
      <c r="T21" s="6">
        <v>707</v>
      </c>
      <c r="U21" s="6">
        <v>1176</v>
      </c>
      <c r="V21" s="6">
        <v>1143</v>
      </c>
      <c r="W21">
        <v>6</v>
      </c>
      <c r="X21">
        <v>90</v>
      </c>
      <c r="Y21">
        <v>6106</v>
      </c>
      <c r="Z21">
        <v>6106</v>
      </c>
      <c r="AA21">
        <v>0</v>
      </c>
      <c r="AB21">
        <v>3800</v>
      </c>
      <c r="AC21">
        <v>1273.79</v>
      </c>
      <c r="AD21">
        <v>0</v>
      </c>
      <c r="AE21">
        <v>11427</v>
      </c>
      <c r="AF21">
        <v>11427</v>
      </c>
      <c r="AG21">
        <v>0.66479210526315791</v>
      </c>
      <c r="AH21">
        <v>43422600</v>
      </c>
      <c r="AI21">
        <v>14555598.33</v>
      </c>
      <c r="AJ21">
        <v>28867001.670000002</v>
      </c>
      <c r="AK21">
        <v>7777761.7400000002</v>
      </c>
      <c r="AL21" s="4">
        <v>1.8714379299050115</v>
      </c>
      <c r="AM21">
        <f t="shared" si="0"/>
        <v>6.4121816749803102</v>
      </c>
      <c r="AN21" s="5">
        <v>952.25</v>
      </c>
      <c r="AO21" s="4">
        <v>70.475795000000019</v>
      </c>
      <c r="AQ21">
        <v>0.5</v>
      </c>
    </row>
    <row r="22" spans="1:43" x14ac:dyDescent="0.25">
      <c r="A22">
        <v>21</v>
      </c>
      <c r="B22" t="s">
        <v>84</v>
      </c>
      <c r="C22" t="s">
        <v>44</v>
      </c>
      <c r="D22" t="s">
        <v>84</v>
      </c>
      <c r="E22" t="s">
        <v>107</v>
      </c>
      <c r="F22" t="s">
        <v>45</v>
      </c>
      <c r="G22" t="s">
        <v>45</v>
      </c>
      <c r="H22">
        <v>1</v>
      </c>
      <c r="I22">
        <v>1</v>
      </c>
      <c r="J22">
        <v>1.64208</v>
      </c>
      <c r="K22" s="6">
        <v>1318</v>
      </c>
      <c r="L22" s="6">
        <v>855</v>
      </c>
      <c r="M22" s="6">
        <v>1156</v>
      </c>
      <c r="N22" s="6">
        <v>1031</v>
      </c>
      <c r="O22" s="6">
        <v>1009</v>
      </c>
      <c r="P22" s="6">
        <v>878</v>
      </c>
      <c r="Q22" s="6">
        <v>538</v>
      </c>
      <c r="R22" s="6">
        <v>703</v>
      </c>
      <c r="S22" s="6">
        <v>504</v>
      </c>
      <c r="T22" s="6">
        <v>694</v>
      </c>
      <c r="U22" s="6">
        <v>736</v>
      </c>
      <c r="V22" s="6">
        <v>792</v>
      </c>
      <c r="W22">
        <v>6</v>
      </c>
      <c r="X22">
        <v>90</v>
      </c>
      <c r="Y22">
        <v>3421</v>
      </c>
      <c r="Z22">
        <v>3421</v>
      </c>
      <c r="AA22">
        <v>0</v>
      </c>
      <c r="AB22">
        <v>4250</v>
      </c>
      <c r="AC22">
        <v>1131.67</v>
      </c>
      <c r="AD22">
        <v>0</v>
      </c>
      <c r="AE22">
        <v>10214</v>
      </c>
      <c r="AF22">
        <v>10214</v>
      </c>
      <c r="AG22">
        <v>0.73372470588235295</v>
      </c>
      <c r="AH22">
        <v>43409500</v>
      </c>
      <c r="AI22">
        <v>11558877.380000001</v>
      </c>
      <c r="AJ22">
        <v>31850622.619999997</v>
      </c>
      <c r="AK22">
        <v>3871443.0700000003</v>
      </c>
      <c r="AL22" s="4">
        <v>2.9856767027185032</v>
      </c>
      <c r="AM22">
        <f t="shared" si="0"/>
        <v>4.0191893479537892</v>
      </c>
      <c r="AN22" s="5">
        <v>851.16666666666663</v>
      </c>
      <c r="AO22" s="4">
        <v>5.1612</v>
      </c>
      <c r="AQ22">
        <v>0.5</v>
      </c>
    </row>
    <row r="23" spans="1:43" x14ac:dyDescent="0.25">
      <c r="A23">
        <v>22</v>
      </c>
      <c r="B23" t="s">
        <v>82</v>
      </c>
      <c r="C23" t="s">
        <v>44</v>
      </c>
      <c r="D23" t="s">
        <v>82</v>
      </c>
      <c r="E23" t="s">
        <v>108</v>
      </c>
      <c r="F23" t="s">
        <v>45</v>
      </c>
      <c r="G23" t="s">
        <v>45</v>
      </c>
      <c r="H23">
        <v>1</v>
      </c>
      <c r="I23">
        <v>1</v>
      </c>
      <c r="J23">
        <v>0.97409000000000023</v>
      </c>
      <c r="K23" s="6">
        <v>1270</v>
      </c>
      <c r="L23" s="6">
        <v>1348</v>
      </c>
      <c r="M23" s="6">
        <v>1008</v>
      </c>
      <c r="N23" s="6">
        <v>692</v>
      </c>
      <c r="O23" s="6">
        <v>1420</v>
      </c>
      <c r="P23" s="6">
        <v>1424</v>
      </c>
      <c r="Q23" s="6">
        <v>1225</v>
      </c>
      <c r="R23" s="6">
        <v>1835</v>
      </c>
      <c r="S23" s="6">
        <v>713</v>
      </c>
      <c r="T23" s="6">
        <v>1171</v>
      </c>
      <c r="U23" s="6">
        <v>849</v>
      </c>
      <c r="V23" s="6">
        <v>747</v>
      </c>
      <c r="W23">
        <v>6</v>
      </c>
      <c r="X23">
        <v>90</v>
      </c>
      <c r="Y23">
        <v>3302</v>
      </c>
      <c r="Z23">
        <v>3302</v>
      </c>
      <c r="AA23">
        <v>0</v>
      </c>
      <c r="AB23">
        <v>3045</v>
      </c>
      <c r="AC23">
        <v>667.17</v>
      </c>
      <c r="AD23">
        <v>0</v>
      </c>
      <c r="AE23">
        <v>13702</v>
      </c>
      <c r="AF23">
        <v>13702</v>
      </c>
      <c r="AG23">
        <v>0.78089655172413786</v>
      </c>
      <c r="AH23">
        <v>41722590</v>
      </c>
      <c r="AI23">
        <v>9141563.3399999999</v>
      </c>
      <c r="AJ23">
        <v>32581026.66</v>
      </c>
      <c r="AK23">
        <v>2202995.34</v>
      </c>
      <c r="AL23" s="4">
        <v>4.149606299212599</v>
      </c>
      <c r="AM23">
        <f t="shared" si="0"/>
        <v>2.891840607210626</v>
      </c>
      <c r="AN23" s="5">
        <v>1141.8333333333333</v>
      </c>
      <c r="AO23" s="4">
        <v>9.573635000000003</v>
      </c>
      <c r="AQ23">
        <v>0.5</v>
      </c>
    </row>
    <row r="24" spans="1:43" x14ac:dyDescent="0.25">
      <c r="A24">
        <v>23</v>
      </c>
      <c r="B24" t="s">
        <v>82</v>
      </c>
      <c r="C24" t="s">
        <v>44</v>
      </c>
      <c r="D24" t="s">
        <v>82</v>
      </c>
      <c r="E24" t="s">
        <v>109</v>
      </c>
      <c r="F24" t="s">
        <v>45</v>
      </c>
      <c r="G24" t="s">
        <v>45</v>
      </c>
      <c r="H24">
        <v>1</v>
      </c>
      <c r="I24">
        <v>1</v>
      </c>
      <c r="J24">
        <v>22.578120000000006</v>
      </c>
      <c r="K24" s="6">
        <v>1709</v>
      </c>
      <c r="L24" s="6">
        <v>861</v>
      </c>
      <c r="M24" s="6">
        <v>1658</v>
      </c>
      <c r="N24" s="6">
        <v>1150</v>
      </c>
      <c r="O24" s="6">
        <v>1101</v>
      </c>
      <c r="P24" s="6">
        <v>1270</v>
      </c>
      <c r="Q24" s="6">
        <v>1225</v>
      </c>
      <c r="R24" s="6">
        <v>1463</v>
      </c>
      <c r="S24" s="6">
        <v>1431</v>
      </c>
      <c r="T24" s="6">
        <v>1307</v>
      </c>
      <c r="U24" s="6">
        <v>1340</v>
      </c>
      <c r="V24" s="6">
        <v>1659</v>
      </c>
      <c r="W24">
        <v>2</v>
      </c>
      <c r="X24">
        <v>90</v>
      </c>
      <c r="Y24">
        <v>3189</v>
      </c>
      <c r="Z24">
        <v>3189</v>
      </c>
      <c r="AA24">
        <v>0</v>
      </c>
      <c r="AB24">
        <v>2370</v>
      </c>
      <c r="AC24">
        <v>1161.3800000000001</v>
      </c>
      <c r="AD24">
        <v>0</v>
      </c>
      <c r="AE24">
        <v>16174</v>
      </c>
      <c r="AF24">
        <v>16174</v>
      </c>
      <c r="AG24">
        <v>0.50996624472573837</v>
      </c>
      <c r="AH24">
        <v>38332380</v>
      </c>
      <c r="AI24">
        <v>18784160.120000001</v>
      </c>
      <c r="AJ24">
        <v>19548219.879999999</v>
      </c>
      <c r="AK24">
        <v>3703640.8200000003</v>
      </c>
      <c r="AL24" s="4">
        <v>5.0718093446221388</v>
      </c>
      <c r="AM24">
        <f t="shared" si="0"/>
        <v>2.3660195375293682</v>
      </c>
      <c r="AN24" s="5">
        <v>1347.8333333333333</v>
      </c>
      <c r="AO24" s="4">
        <v>36.795055000000012</v>
      </c>
      <c r="AQ24">
        <v>0.5</v>
      </c>
    </row>
    <row r="25" spans="1:43" x14ac:dyDescent="0.25">
      <c r="A25">
        <v>24</v>
      </c>
      <c r="B25" t="s">
        <v>82</v>
      </c>
      <c r="C25" t="s">
        <v>44</v>
      </c>
      <c r="D25" t="s">
        <v>82</v>
      </c>
      <c r="E25" t="s">
        <v>110</v>
      </c>
      <c r="F25" t="s">
        <v>45</v>
      </c>
      <c r="G25" t="s">
        <v>45</v>
      </c>
      <c r="H25">
        <v>1</v>
      </c>
      <c r="I25">
        <v>1</v>
      </c>
      <c r="J25">
        <v>0</v>
      </c>
      <c r="K25" s="6">
        <v>1386</v>
      </c>
      <c r="L25" s="6">
        <v>1350</v>
      </c>
      <c r="M25" s="6">
        <v>1324</v>
      </c>
      <c r="N25" s="6">
        <v>1788</v>
      </c>
      <c r="O25" s="6">
        <v>1423</v>
      </c>
      <c r="P25" s="6">
        <v>1818</v>
      </c>
      <c r="Q25" s="6">
        <v>1430</v>
      </c>
      <c r="R25" s="6">
        <v>1274</v>
      </c>
      <c r="S25" s="6">
        <v>1159</v>
      </c>
      <c r="T25" s="6">
        <v>1218</v>
      </c>
      <c r="U25" s="6">
        <v>646</v>
      </c>
      <c r="V25" s="6">
        <v>1012</v>
      </c>
      <c r="W25">
        <v>0</v>
      </c>
      <c r="X25">
        <v>90</v>
      </c>
      <c r="Y25">
        <v>0</v>
      </c>
      <c r="Z25">
        <v>0</v>
      </c>
      <c r="AA25">
        <v>0</v>
      </c>
      <c r="AB25">
        <v>2370</v>
      </c>
      <c r="AC25">
        <v>573.74</v>
      </c>
      <c r="AD25">
        <v>0</v>
      </c>
      <c r="AE25">
        <v>15828</v>
      </c>
      <c r="AF25">
        <v>15828</v>
      </c>
      <c r="AG25">
        <v>0.75791561181434597</v>
      </c>
      <c r="AH25">
        <v>37512360</v>
      </c>
      <c r="AI25">
        <v>9081156.7200000007</v>
      </c>
      <c r="AJ25">
        <v>28431203.280000001</v>
      </c>
      <c r="AK25">
        <v>0</v>
      </c>
      <c r="AL25" s="4">
        <v>0</v>
      </c>
      <c r="AM25">
        <v>0</v>
      </c>
      <c r="AN25" s="5">
        <v>1319</v>
      </c>
      <c r="AO25" s="4">
        <v>0</v>
      </c>
      <c r="AQ25">
        <v>0.5</v>
      </c>
    </row>
    <row r="26" spans="1:43" x14ac:dyDescent="0.25">
      <c r="A26">
        <v>25</v>
      </c>
      <c r="B26" t="s">
        <v>82</v>
      </c>
      <c r="C26" t="s">
        <v>44</v>
      </c>
      <c r="D26" t="s">
        <v>82</v>
      </c>
      <c r="E26" t="s">
        <v>111</v>
      </c>
      <c r="F26" t="s">
        <v>45</v>
      </c>
      <c r="G26" t="s">
        <v>45</v>
      </c>
      <c r="H26">
        <v>1</v>
      </c>
      <c r="I26">
        <v>1</v>
      </c>
      <c r="J26">
        <v>38.812560000000005</v>
      </c>
      <c r="K26" s="6">
        <v>1803</v>
      </c>
      <c r="L26" s="6">
        <v>1817</v>
      </c>
      <c r="M26" s="6">
        <v>1038</v>
      </c>
      <c r="N26" s="6">
        <v>2104</v>
      </c>
      <c r="O26" s="6">
        <v>1194</v>
      </c>
      <c r="P26" s="6">
        <v>1020</v>
      </c>
      <c r="Q26" s="6">
        <v>1175</v>
      </c>
      <c r="R26" s="6">
        <v>804</v>
      </c>
      <c r="S26" s="6">
        <v>1023</v>
      </c>
      <c r="T26" s="6">
        <v>1398</v>
      </c>
      <c r="U26" s="6">
        <v>1415</v>
      </c>
      <c r="V26" s="6">
        <v>846</v>
      </c>
      <c r="W26">
        <v>9</v>
      </c>
      <c r="X26">
        <v>90</v>
      </c>
      <c r="Y26">
        <v>5482</v>
      </c>
      <c r="Z26">
        <v>5482</v>
      </c>
      <c r="AA26">
        <v>0</v>
      </c>
      <c r="AB26">
        <v>2370</v>
      </c>
      <c r="AC26">
        <v>1177.71</v>
      </c>
      <c r="AD26">
        <v>0</v>
      </c>
      <c r="AE26">
        <v>15637</v>
      </c>
      <c r="AF26">
        <v>15637</v>
      </c>
      <c r="AG26">
        <v>0.50307594936708855</v>
      </c>
      <c r="AH26">
        <v>37059690</v>
      </c>
      <c r="AI26">
        <v>18415851.27</v>
      </c>
      <c r="AJ26">
        <v>18643838.73</v>
      </c>
      <c r="AK26">
        <v>6456206.2199999997</v>
      </c>
      <c r="AL26" s="4">
        <v>2.8524261218533384</v>
      </c>
      <c r="AM26">
        <f t="shared" si="0"/>
        <v>4.2069450661891663</v>
      </c>
      <c r="AN26" s="5">
        <v>1303.0833333333333</v>
      </c>
      <c r="AO26" s="4">
        <v>63.32440500000002</v>
      </c>
      <c r="AQ26">
        <v>0.5</v>
      </c>
    </row>
    <row r="27" spans="1:43" x14ac:dyDescent="0.25">
      <c r="A27">
        <v>26</v>
      </c>
      <c r="B27" t="s">
        <v>84</v>
      </c>
      <c r="C27" t="s">
        <v>44</v>
      </c>
      <c r="D27" t="s">
        <v>84</v>
      </c>
      <c r="E27" t="s">
        <v>112</v>
      </c>
      <c r="F27" t="s">
        <v>45</v>
      </c>
      <c r="G27" t="s">
        <v>45</v>
      </c>
      <c r="H27">
        <v>1</v>
      </c>
      <c r="I27">
        <v>1</v>
      </c>
      <c r="J27">
        <v>0.18815999999999999</v>
      </c>
      <c r="K27" s="6">
        <v>541</v>
      </c>
      <c r="L27" s="6">
        <v>583</v>
      </c>
      <c r="M27" s="6">
        <v>511</v>
      </c>
      <c r="N27" s="6">
        <v>883</v>
      </c>
      <c r="O27" s="6">
        <v>552</v>
      </c>
      <c r="P27" s="6">
        <v>805</v>
      </c>
      <c r="Q27" s="6">
        <v>713</v>
      </c>
      <c r="R27" s="6">
        <v>711</v>
      </c>
      <c r="S27" s="6">
        <v>348</v>
      </c>
      <c r="T27" s="6">
        <v>725</v>
      </c>
      <c r="U27" s="6">
        <v>891</v>
      </c>
      <c r="V27" s="6">
        <v>745</v>
      </c>
      <c r="W27">
        <v>1</v>
      </c>
      <c r="X27">
        <v>90</v>
      </c>
      <c r="Y27">
        <v>392</v>
      </c>
      <c r="Z27">
        <v>392</v>
      </c>
      <c r="AA27">
        <v>0</v>
      </c>
      <c r="AB27">
        <v>4250</v>
      </c>
      <c r="AC27">
        <v>1665.43</v>
      </c>
      <c r="AD27">
        <v>0</v>
      </c>
      <c r="AE27">
        <v>8008</v>
      </c>
      <c r="AF27">
        <v>8008</v>
      </c>
      <c r="AG27">
        <v>0.60813411764705871</v>
      </c>
      <c r="AH27">
        <v>34034000</v>
      </c>
      <c r="AI27">
        <v>13336763.440000001</v>
      </c>
      <c r="AJ27">
        <v>20697236.559999999</v>
      </c>
      <c r="AK27">
        <v>652848.56000000006</v>
      </c>
      <c r="AL27" s="4">
        <v>20.428571428571431</v>
      </c>
      <c r="AM27">
        <f t="shared" si="0"/>
        <v>0.58741258741258739</v>
      </c>
      <c r="AN27" s="5">
        <v>667.33333333333337</v>
      </c>
      <c r="AO27" s="4">
        <v>0.62831999999999999</v>
      </c>
      <c r="AQ27">
        <v>0.5</v>
      </c>
    </row>
    <row r="28" spans="1:43" x14ac:dyDescent="0.25">
      <c r="A28">
        <v>27</v>
      </c>
      <c r="B28" t="s">
        <v>82</v>
      </c>
      <c r="C28" t="s">
        <v>44</v>
      </c>
      <c r="D28" t="s">
        <v>82</v>
      </c>
      <c r="E28" t="s">
        <v>113</v>
      </c>
      <c r="F28" t="s">
        <v>45</v>
      </c>
      <c r="G28" t="s">
        <v>45</v>
      </c>
      <c r="H28">
        <v>1</v>
      </c>
      <c r="I28">
        <v>1</v>
      </c>
      <c r="J28">
        <v>0.72275000000000011</v>
      </c>
      <c r="K28" s="6">
        <v>1406</v>
      </c>
      <c r="L28" s="6">
        <v>708</v>
      </c>
      <c r="M28" s="6">
        <v>772</v>
      </c>
      <c r="N28" s="6">
        <v>1011</v>
      </c>
      <c r="O28" s="6">
        <v>1266</v>
      </c>
      <c r="P28" s="6">
        <v>1034</v>
      </c>
      <c r="Q28" s="6">
        <v>694</v>
      </c>
      <c r="R28" s="6">
        <v>770</v>
      </c>
      <c r="S28" s="6">
        <v>563</v>
      </c>
      <c r="T28" s="6">
        <v>751</v>
      </c>
      <c r="U28" s="6">
        <v>1012</v>
      </c>
      <c r="V28" s="6">
        <v>793</v>
      </c>
      <c r="W28">
        <v>8</v>
      </c>
      <c r="X28">
        <v>90</v>
      </c>
      <c r="Y28">
        <v>2450</v>
      </c>
      <c r="Z28">
        <v>2450</v>
      </c>
      <c r="AA28">
        <v>0</v>
      </c>
      <c r="AB28">
        <v>3045</v>
      </c>
      <c r="AC28">
        <v>686.39</v>
      </c>
      <c r="AD28">
        <v>0</v>
      </c>
      <c r="AE28">
        <v>10780</v>
      </c>
      <c r="AF28">
        <v>10780</v>
      </c>
      <c r="AG28">
        <v>0.77458456486042693</v>
      </c>
      <c r="AH28">
        <v>32825100</v>
      </c>
      <c r="AI28">
        <v>7399284.2000000002</v>
      </c>
      <c r="AJ28">
        <v>25425815.800000001</v>
      </c>
      <c r="AK28">
        <v>1681655.5</v>
      </c>
      <c r="AL28" s="4">
        <v>4.4000000000000004</v>
      </c>
      <c r="AM28">
        <f t="shared" si="0"/>
        <v>2.7272727272727271</v>
      </c>
      <c r="AN28" s="5">
        <v>898.33333333333337</v>
      </c>
      <c r="AO28" s="4">
        <v>7.1513900000000019</v>
      </c>
      <c r="AQ28">
        <v>0.5</v>
      </c>
    </row>
    <row r="29" spans="1:43" x14ac:dyDescent="0.25">
      <c r="A29">
        <v>28</v>
      </c>
      <c r="B29" t="s">
        <v>82</v>
      </c>
      <c r="C29" t="s">
        <v>44</v>
      </c>
      <c r="D29" t="s">
        <v>82</v>
      </c>
      <c r="E29" t="s">
        <v>114</v>
      </c>
      <c r="F29" t="s">
        <v>45</v>
      </c>
      <c r="G29" t="s">
        <v>45</v>
      </c>
      <c r="H29">
        <v>1</v>
      </c>
      <c r="I29">
        <v>1</v>
      </c>
      <c r="J29">
        <v>13.147560000000002</v>
      </c>
      <c r="K29" s="6">
        <v>493</v>
      </c>
      <c r="L29" s="6">
        <v>1041</v>
      </c>
      <c r="M29" s="6">
        <v>1340</v>
      </c>
      <c r="N29" s="6">
        <v>1163</v>
      </c>
      <c r="O29" s="6">
        <v>604</v>
      </c>
      <c r="P29" s="6">
        <v>1098</v>
      </c>
      <c r="Q29" s="6">
        <v>1089</v>
      </c>
      <c r="R29" s="6">
        <v>1150</v>
      </c>
      <c r="S29" s="6">
        <v>1226</v>
      </c>
      <c r="T29" s="6">
        <v>845</v>
      </c>
      <c r="U29" s="6">
        <v>1343</v>
      </c>
      <c r="V29" s="6">
        <v>1391</v>
      </c>
      <c r="W29">
        <v>2</v>
      </c>
      <c r="X29">
        <v>90</v>
      </c>
      <c r="Y29">
        <v>1857</v>
      </c>
      <c r="Z29">
        <v>1857</v>
      </c>
      <c r="AA29">
        <v>0</v>
      </c>
      <c r="AB29">
        <v>2370</v>
      </c>
      <c r="AC29">
        <v>1201.06</v>
      </c>
      <c r="AD29">
        <v>0</v>
      </c>
      <c r="AE29">
        <v>12783</v>
      </c>
      <c r="AF29">
        <v>12783</v>
      </c>
      <c r="AG29">
        <v>0.49322362869198322</v>
      </c>
      <c r="AH29">
        <v>30295710</v>
      </c>
      <c r="AI29">
        <v>15353149.979999999</v>
      </c>
      <c r="AJ29">
        <v>14942560.020000001</v>
      </c>
      <c r="AK29">
        <v>2230368.42</v>
      </c>
      <c r="AL29" s="4">
        <v>6.8836833602584813</v>
      </c>
      <c r="AM29">
        <f t="shared" si="0"/>
        <v>1.7432527575686458</v>
      </c>
      <c r="AN29" s="5">
        <v>1065.25</v>
      </c>
      <c r="AO29" s="4">
        <v>21.454170000000005</v>
      </c>
      <c r="AQ29">
        <v>0.5</v>
      </c>
    </row>
    <row r="30" spans="1:43" x14ac:dyDescent="0.25">
      <c r="A30">
        <v>29</v>
      </c>
      <c r="B30" t="s">
        <v>85</v>
      </c>
      <c r="C30" t="s">
        <v>44</v>
      </c>
      <c r="D30" t="s">
        <v>85</v>
      </c>
      <c r="E30" t="s">
        <v>115</v>
      </c>
      <c r="F30" t="s">
        <v>45</v>
      </c>
      <c r="G30" t="s">
        <v>45</v>
      </c>
      <c r="H30">
        <v>1</v>
      </c>
      <c r="I30">
        <v>1</v>
      </c>
      <c r="J30">
        <v>3.7443264000000003</v>
      </c>
      <c r="K30" s="6">
        <v>704</v>
      </c>
      <c r="L30" s="6">
        <v>1400</v>
      </c>
      <c r="M30" s="6">
        <v>736</v>
      </c>
      <c r="N30" s="6">
        <v>424</v>
      </c>
      <c r="O30" s="6">
        <v>1216</v>
      </c>
      <c r="P30" s="6">
        <v>304</v>
      </c>
      <c r="Q30" s="6">
        <v>944</v>
      </c>
      <c r="R30" s="6">
        <v>1120</v>
      </c>
      <c r="S30" s="6">
        <v>992</v>
      </c>
      <c r="T30" s="6">
        <v>432</v>
      </c>
      <c r="U30" s="6">
        <v>288</v>
      </c>
      <c r="V30" s="6">
        <v>264</v>
      </c>
      <c r="W30">
        <v>3</v>
      </c>
      <c r="X30">
        <v>90</v>
      </c>
      <c r="Y30">
        <v>2224</v>
      </c>
      <c r="Z30">
        <v>2224</v>
      </c>
      <c r="AA30">
        <v>0</v>
      </c>
      <c r="AB30">
        <v>3123</v>
      </c>
      <c r="AC30">
        <v>1613.42</v>
      </c>
      <c r="AD30">
        <v>0</v>
      </c>
      <c r="AE30">
        <v>8824</v>
      </c>
      <c r="AF30">
        <v>8824</v>
      </c>
      <c r="AG30">
        <v>0.53902285714285714</v>
      </c>
      <c r="AH30">
        <v>27557352</v>
      </c>
      <c r="AI30">
        <v>14236818.08</v>
      </c>
      <c r="AJ30">
        <v>13320533.92</v>
      </c>
      <c r="AK30">
        <v>3588246.08</v>
      </c>
      <c r="AL30" s="4">
        <v>3.9676258992805753</v>
      </c>
      <c r="AM30">
        <f t="shared" si="0"/>
        <v>3.0244786944696287</v>
      </c>
      <c r="AN30" s="5">
        <v>735.33333333333337</v>
      </c>
      <c r="AO30" s="4">
        <v>3.7443264000000003</v>
      </c>
      <c r="AQ30">
        <v>0.5</v>
      </c>
    </row>
    <row r="31" spans="1:43" x14ac:dyDescent="0.25">
      <c r="A31">
        <v>30</v>
      </c>
      <c r="B31" t="s">
        <v>84</v>
      </c>
      <c r="C31" t="s">
        <v>44</v>
      </c>
      <c r="D31" t="s">
        <v>84</v>
      </c>
      <c r="E31" t="s">
        <v>116</v>
      </c>
      <c r="F31" t="s">
        <v>45</v>
      </c>
      <c r="G31" t="s">
        <v>45</v>
      </c>
      <c r="H31">
        <v>1</v>
      </c>
      <c r="I31">
        <v>1</v>
      </c>
      <c r="J31">
        <v>0.79965600000000003</v>
      </c>
      <c r="K31" s="6">
        <v>819</v>
      </c>
      <c r="L31" s="6">
        <v>614</v>
      </c>
      <c r="M31" s="6">
        <v>535</v>
      </c>
      <c r="N31" s="6">
        <v>811</v>
      </c>
      <c r="O31" s="6">
        <v>730</v>
      </c>
      <c r="P31" s="6">
        <v>514</v>
      </c>
      <c r="Q31" s="6">
        <v>1141</v>
      </c>
      <c r="R31" s="6">
        <v>584</v>
      </c>
      <c r="S31" s="6">
        <v>602</v>
      </c>
      <c r="T31" s="6">
        <v>847</v>
      </c>
      <c r="U31" s="6">
        <v>938</v>
      </c>
      <c r="V31" s="6">
        <v>761</v>
      </c>
      <c r="W31">
        <v>7</v>
      </c>
      <c r="X31">
        <v>90</v>
      </c>
      <c r="Y31">
        <v>2563</v>
      </c>
      <c r="Z31">
        <v>2563</v>
      </c>
      <c r="AA31">
        <v>0</v>
      </c>
      <c r="AB31">
        <v>3080</v>
      </c>
      <c r="AC31">
        <v>1242.8800000000001</v>
      </c>
      <c r="AD31">
        <v>0</v>
      </c>
      <c r="AE31">
        <v>8896</v>
      </c>
      <c r="AF31">
        <v>8896</v>
      </c>
      <c r="AG31">
        <v>0.59646753246753248</v>
      </c>
      <c r="AH31">
        <v>27399680</v>
      </c>
      <c r="AI31">
        <v>11056660.48</v>
      </c>
      <c r="AJ31">
        <v>16343019.52</v>
      </c>
      <c r="AK31">
        <v>3185501.4400000004</v>
      </c>
      <c r="AL31" s="4">
        <v>3.4709325009754193</v>
      </c>
      <c r="AM31">
        <f t="shared" si="0"/>
        <v>3.4572841726618706</v>
      </c>
      <c r="AN31" s="5">
        <v>741.33333333333337</v>
      </c>
      <c r="AO31" s="4">
        <v>2.9172000000000002</v>
      </c>
      <c r="AQ31">
        <v>0.5</v>
      </c>
    </row>
    <row r="32" spans="1:43" x14ac:dyDescent="0.25">
      <c r="A32">
        <v>31</v>
      </c>
      <c r="B32" t="s">
        <v>84</v>
      </c>
      <c r="C32" t="s">
        <v>44</v>
      </c>
      <c r="D32" t="s">
        <v>84</v>
      </c>
      <c r="E32" t="s">
        <v>117</v>
      </c>
      <c r="F32" t="s">
        <v>45</v>
      </c>
      <c r="G32" t="s">
        <v>45</v>
      </c>
      <c r="H32">
        <v>1</v>
      </c>
      <c r="I32">
        <v>1</v>
      </c>
      <c r="J32">
        <v>0.60506400000000005</v>
      </c>
      <c r="K32" s="6">
        <v>850</v>
      </c>
      <c r="L32" s="6">
        <v>198</v>
      </c>
      <c r="M32" s="6">
        <v>617</v>
      </c>
      <c r="N32" s="6">
        <v>480</v>
      </c>
      <c r="O32" s="6">
        <v>627</v>
      </c>
      <c r="P32" s="6">
        <v>654</v>
      </c>
      <c r="Q32" s="6">
        <v>588</v>
      </c>
      <c r="R32" s="6">
        <v>656</v>
      </c>
      <c r="S32" s="6">
        <v>447</v>
      </c>
      <c r="T32" s="6">
        <v>754</v>
      </c>
      <c r="U32" s="6">
        <v>921</v>
      </c>
      <c r="V32" s="6">
        <v>962</v>
      </c>
      <c r="W32">
        <v>3</v>
      </c>
      <c r="X32">
        <v>90</v>
      </c>
      <c r="Y32">
        <v>1483</v>
      </c>
      <c r="Z32">
        <v>1483</v>
      </c>
      <c r="AA32">
        <v>0</v>
      </c>
      <c r="AB32">
        <v>3528</v>
      </c>
      <c r="AC32">
        <v>1115.8800000000001</v>
      </c>
      <c r="AD32">
        <v>0</v>
      </c>
      <c r="AE32">
        <v>7754</v>
      </c>
      <c r="AF32">
        <v>7754</v>
      </c>
      <c r="AG32">
        <v>0.68370748299319728</v>
      </c>
      <c r="AH32">
        <v>27356112</v>
      </c>
      <c r="AI32">
        <v>8652533.5200000014</v>
      </c>
      <c r="AJ32">
        <v>18703578.479999997</v>
      </c>
      <c r="AK32">
        <v>1654850.0400000003</v>
      </c>
      <c r="AL32" s="4">
        <v>5.2285906945380987</v>
      </c>
      <c r="AM32">
        <f t="shared" si="0"/>
        <v>2.2950735104462212</v>
      </c>
      <c r="AN32" s="5">
        <v>646.16666666666663</v>
      </c>
      <c r="AO32" s="4">
        <v>2.2440000000000002</v>
      </c>
      <c r="AQ32">
        <v>0.5</v>
      </c>
    </row>
    <row r="33" spans="1:43" x14ac:dyDescent="0.25">
      <c r="A33">
        <v>32</v>
      </c>
      <c r="B33" t="s">
        <v>82</v>
      </c>
      <c r="C33" t="s">
        <v>44</v>
      </c>
      <c r="D33" t="s">
        <v>82</v>
      </c>
      <c r="E33" t="s">
        <v>118</v>
      </c>
      <c r="F33" t="s">
        <v>45</v>
      </c>
      <c r="G33" t="s">
        <v>45</v>
      </c>
      <c r="H33">
        <v>1</v>
      </c>
      <c r="I33">
        <v>1</v>
      </c>
      <c r="J33">
        <v>0.110592</v>
      </c>
      <c r="K33" s="6">
        <v>1649</v>
      </c>
      <c r="L33" s="6">
        <v>1200</v>
      </c>
      <c r="M33" s="6">
        <v>1370</v>
      </c>
      <c r="N33" s="6">
        <v>1699</v>
      </c>
      <c r="O33" s="6">
        <v>1525</v>
      </c>
      <c r="P33" s="6">
        <v>1059</v>
      </c>
      <c r="Q33" s="6">
        <v>1315</v>
      </c>
      <c r="R33" s="6">
        <v>1115</v>
      </c>
      <c r="S33" s="6">
        <v>928</v>
      </c>
      <c r="T33" s="6">
        <v>1062</v>
      </c>
      <c r="U33" s="6">
        <v>1600</v>
      </c>
      <c r="V33" s="6">
        <v>772</v>
      </c>
      <c r="W33">
        <v>1</v>
      </c>
      <c r="X33">
        <v>90</v>
      </c>
      <c r="Y33">
        <v>768</v>
      </c>
      <c r="Z33">
        <v>768</v>
      </c>
      <c r="AA33">
        <v>0</v>
      </c>
      <c r="AB33">
        <v>1645</v>
      </c>
      <c r="AC33">
        <v>1143.3399999999999</v>
      </c>
      <c r="AD33">
        <v>0</v>
      </c>
      <c r="AE33">
        <v>15294</v>
      </c>
      <c r="AF33">
        <v>15294</v>
      </c>
      <c r="AG33">
        <v>0.30496048632218847</v>
      </c>
      <c r="AH33">
        <v>25158630</v>
      </c>
      <c r="AI33">
        <v>17486241.959999997</v>
      </c>
      <c r="AJ33">
        <v>7672388.0400000028</v>
      </c>
      <c r="AK33">
        <v>878085.11999999988</v>
      </c>
      <c r="AL33" s="4">
        <v>19.9140625</v>
      </c>
      <c r="AM33">
        <f t="shared" si="0"/>
        <v>0.60258925068654379</v>
      </c>
      <c r="AN33" s="5">
        <v>1274.5</v>
      </c>
      <c r="AO33" s="4">
        <v>0.46920000000000012</v>
      </c>
      <c r="AQ33">
        <v>0.5</v>
      </c>
    </row>
    <row r="34" spans="1:43" x14ac:dyDescent="0.25">
      <c r="A34">
        <v>33</v>
      </c>
      <c r="B34" t="s">
        <v>84</v>
      </c>
      <c r="C34" t="s">
        <v>44</v>
      </c>
      <c r="D34" t="s">
        <v>84</v>
      </c>
      <c r="E34" t="s">
        <v>119</v>
      </c>
      <c r="F34" t="s">
        <v>45</v>
      </c>
      <c r="G34" t="s">
        <v>45</v>
      </c>
      <c r="H34">
        <v>1</v>
      </c>
      <c r="I34">
        <v>1</v>
      </c>
      <c r="J34">
        <v>1.54908</v>
      </c>
      <c r="K34" s="6">
        <v>962</v>
      </c>
      <c r="L34" s="6">
        <v>741</v>
      </c>
      <c r="M34" s="6">
        <v>831</v>
      </c>
      <c r="N34" s="6">
        <v>549</v>
      </c>
      <c r="O34" s="6">
        <v>445</v>
      </c>
      <c r="P34" s="6">
        <v>708</v>
      </c>
      <c r="Q34" s="6">
        <v>774</v>
      </c>
      <c r="R34" s="6">
        <v>724</v>
      </c>
      <c r="S34" s="6">
        <v>577</v>
      </c>
      <c r="T34" s="6">
        <v>593</v>
      </c>
      <c r="U34" s="6">
        <v>825</v>
      </c>
      <c r="V34" s="6">
        <v>402</v>
      </c>
      <c r="W34">
        <v>6</v>
      </c>
      <c r="X34">
        <v>90</v>
      </c>
      <c r="Y34">
        <v>4965</v>
      </c>
      <c r="Z34">
        <v>4965</v>
      </c>
      <c r="AA34">
        <v>0</v>
      </c>
      <c r="AB34">
        <v>3080</v>
      </c>
      <c r="AC34">
        <v>939.61</v>
      </c>
      <c r="AD34">
        <v>0</v>
      </c>
      <c r="AE34">
        <v>8131</v>
      </c>
      <c r="AF34">
        <v>8131</v>
      </c>
      <c r="AG34">
        <v>0.69493181818181815</v>
      </c>
      <c r="AH34">
        <v>25043480</v>
      </c>
      <c r="AI34">
        <v>7639968.9100000001</v>
      </c>
      <c r="AJ34">
        <v>17403511.09</v>
      </c>
      <c r="AK34">
        <v>4665163.6500000004</v>
      </c>
      <c r="AL34" s="4">
        <v>1.6376636455186304</v>
      </c>
      <c r="AM34">
        <f t="shared" si="0"/>
        <v>7.3275119911450002</v>
      </c>
      <c r="AN34" s="5">
        <v>677.58333333333337</v>
      </c>
      <c r="AO34" s="4">
        <v>7.4500800000000007</v>
      </c>
      <c r="AQ34">
        <v>0.5</v>
      </c>
    </row>
    <row r="35" spans="1:43" x14ac:dyDescent="0.25">
      <c r="A35">
        <v>34</v>
      </c>
      <c r="B35" t="s">
        <v>85</v>
      </c>
      <c r="C35" t="s">
        <v>44</v>
      </c>
      <c r="D35" t="s">
        <v>85</v>
      </c>
      <c r="E35" t="s">
        <v>120</v>
      </c>
      <c r="F35" t="s">
        <v>45</v>
      </c>
      <c r="G35" t="s">
        <v>45</v>
      </c>
      <c r="H35">
        <v>1</v>
      </c>
      <c r="I35">
        <v>1</v>
      </c>
      <c r="J35">
        <v>3.3773016000000005</v>
      </c>
      <c r="K35" s="6">
        <v>482</v>
      </c>
      <c r="L35" s="6">
        <v>2056</v>
      </c>
      <c r="M35" s="6">
        <v>1160</v>
      </c>
      <c r="N35" s="6">
        <v>24</v>
      </c>
      <c r="O35" s="6">
        <v>632</v>
      </c>
      <c r="P35" s="6">
        <v>88</v>
      </c>
      <c r="Q35" s="6">
        <v>264</v>
      </c>
      <c r="R35" s="6">
        <v>200</v>
      </c>
      <c r="S35" s="6">
        <v>448</v>
      </c>
      <c r="T35" s="6">
        <v>1101</v>
      </c>
      <c r="U35" s="6">
        <v>192</v>
      </c>
      <c r="V35" s="6">
        <v>1312</v>
      </c>
      <c r="W35">
        <v>3</v>
      </c>
      <c r="X35">
        <v>90</v>
      </c>
      <c r="Y35">
        <v>2006</v>
      </c>
      <c r="Z35">
        <v>2006</v>
      </c>
      <c r="AA35">
        <v>0</v>
      </c>
      <c r="AB35">
        <v>3123</v>
      </c>
      <c r="AC35">
        <v>1501.73</v>
      </c>
      <c r="AD35">
        <v>0</v>
      </c>
      <c r="AE35">
        <v>7959</v>
      </c>
      <c r="AF35">
        <v>7959</v>
      </c>
      <c r="AG35">
        <v>0.57093428571428573</v>
      </c>
      <c r="AH35">
        <v>24855957</v>
      </c>
      <c r="AI35">
        <v>11952269.07</v>
      </c>
      <c r="AJ35">
        <v>12903687.93</v>
      </c>
      <c r="AK35">
        <v>3012470.38</v>
      </c>
      <c r="AL35" s="4">
        <v>3.9675972083748756</v>
      </c>
      <c r="AM35">
        <f t="shared" si="0"/>
        <v>3.0245005653976627</v>
      </c>
      <c r="AN35" s="5">
        <v>663.25</v>
      </c>
      <c r="AO35" s="4">
        <v>3.3806688000000005</v>
      </c>
      <c r="AQ35">
        <v>0.5</v>
      </c>
    </row>
    <row r="36" spans="1:43" x14ac:dyDescent="0.25">
      <c r="A36">
        <v>35</v>
      </c>
      <c r="B36" t="s">
        <v>84</v>
      </c>
      <c r="C36" t="s">
        <v>44</v>
      </c>
      <c r="D36" t="s">
        <v>84</v>
      </c>
      <c r="E36" t="s">
        <v>121</v>
      </c>
      <c r="F36" t="s">
        <v>45</v>
      </c>
      <c r="G36" t="s">
        <v>45</v>
      </c>
      <c r="H36">
        <v>1</v>
      </c>
      <c r="I36">
        <v>1</v>
      </c>
      <c r="J36">
        <v>0.31334400000000007</v>
      </c>
      <c r="K36" s="6">
        <v>378</v>
      </c>
      <c r="L36" s="6">
        <v>354</v>
      </c>
      <c r="M36" s="6">
        <v>693</v>
      </c>
      <c r="N36" s="6">
        <v>640</v>
      </c>
      <c r="O36" s="6">
        <v>392</v>
      </c>
      <c r="P36" s="6">
        <v>413</v>
      </c>
      <c r="Q36" s="6">
        <v>680</v>
      </c>
      <c r="R36" s="6">
        <v>291</v>
      </c>
      <c r="S36" s="6">
        <v>440</v>
      </c>
      <c r="T36" s="6">
        <v>573</v>
      </c>
      <c r="U36" s="6">
        <v>801</v>
      </c>
      <c r="V36" s="6">
        <v>675</v>
      </c>
      <c r="W36">
        <v>3</v>
      </c>
      <c r="X36">
        <v>90</v>
      </c>
      <c r="Y36">
        <v>768</v>
      </c>
      <c r="Z36">
        <v>768</v>
      </c>
      <c r="AA36">
        <v>0</v>
      </c>
      <c r="AB36">
        <v>3528</v>
      </c>
      <c r="AC36">
        <v>1143.3399999999999</v>
      </c>
      <c r="AD36">
        <v>0</v>
      </c>
      <c r="AE36">
        <v>6330</v>
      </c>
      <c r="AF36">
        <v>6330</v>
      </c>
      <c r="AG36">
        <v>0.67592403628117914</v>
      </c>
      <c r="AH36">
        <v>22332240</v>
      </c>
      <c r="AI36">
        <v>7237342.1999999993</v>
      </c>
      <c r="AJ36">
        <v>15094897.800000001</v>
      </c>
      <c r="AK36">
        <v>878085.11999999988</v>
      </c>
      <c r="AL36" s="4">
        <v>8.2421875</v>
      </c>
      <c r="AM36">
        <f t="shared" si="0"/>
        <v>1.4559241706161137</v>
      </c>
      <c r="AN36" s="5">
        <v>527.5</v>
      </c>
      <c r="AO36" s="4">
        <v>1.1668800000000001</v>
      </c>
      <c r="AQ36">
        <v>0.5</v>
      </c>
    </row>
    <row r="37" spans="1:43" x14ac:dyDescent="0.25">
      <c r="A37">
        <v>36</v>
      </c>
      <c r="B37" t="s">
        <v>84</v>
      </c>
      <c r="C37" t="s">
        <v>44</v>
      </c>
      <c r="D37" t="s">
        <v>84</v>
      </c>
      <c r="E37" t="s">
        <v>122</v>
      </c>
      <c r="F37" t="s">
        <v>45</v>
      </c>
      <c r="G37" t="s">
        <v>45</v>
      </c>
      <c r="H37">
        <v>1</v>
      </c>
      <c r="I37">
        <v>1</v>
      </c>
      <c r="J37">
        <v>1.5189840000000001</v>
      </c>
      <c r="K37" s="6">
        <v>745</v>
      </c>
      <c r="L37" s="6">
        <v>450</v>
      </c>
      <c r="M37" s="6">
        <v>550</v>
      </c>
      <c r="N37" s="6">
        <v>525</v>
      </c>
      <c r="O37" s="6">
        <v>539</v>
      </c>
      <c r="P37" s="6">
        <v>489</v>
      </c>
      <c r="Q37" s="6">
        <v>474</v>
      </c>
      <c r="R37" s="6">
        <v>469</v>
      </c>
      <c r="S37" s="6">
        <v>422</v>
      </c>
      <c r="T37" s="6">
        <v>492</v>
      </c>
      <c r="U37" s="6">
        <v>530</v>
      </c>
      <c r="V37" s="6">
        <v>209</v>
      </c>
      <c r="W37">
        <v>4</v>
      </c>
      <c r="X37">
        <v>90</v>
      </c>
      <c r="Y37">
        <v>3723</v>
      </c>
      <c r="Z37">
        <v>3723</v>
      </c>
      <c r="AA37">
        <v>0</v>
      </c>
      <c r="AB37">
        <v>3528</v>
      </c>
      <c r="AC37">
        <v>1029.3800000000001</v>
      </c>
      <c r="AD37">
        <v>0</v>
      </c>
      <c r="AE37">
        <v>5894</v>
      </c>
      <c r="AF37">
        <v>5894</v>
      </c>
      <c r="AG37">
        <v>0.70822562358276642</v>
      </c>
      <c r="AH37">
        <v>20794032</v>
      </c>
      <c r="AI37">
        <v>6067165.7200000007</v>
      </c>
      <c r="AJ37">
        <v>14726866.279999999</v>
      </c>
      <c r="AK37">
        <v>3832381.74</v>
      </c>
      <c r="AL37" s="4">
        <v>1.5831318828901424</v>
      </c>
      <c r="AM37">
        <f t="shared" si="0"/>
        <v>7.5799117746861215</v>
      </c>
      <c r="AN37" s="5">
        <v>491.16666666666669</v>
      </c>
      <c r="AO37" s="4">
        <v>5.61</v>
      </c>
      <c r="AQ37">
        <v>0.5</v>
      </c>
    </row>
    <row r="38" spans="1:43" x14ac:dyDescent="0.25">
      <c r="A38">
        <v>37</v>
      </c>
      <c r="B38" t="s">
        <v>85</v>
      </c>
      <c r="C38" t="s">
        <v>44</v>
      </c>
      <c r="D38" t="s">
        <v>85</v>
      </c>
      <c r="E38" t="s">
        <v>123</v>
      </c>
      <c r="F38" t="s">
        <v>45</v>
      </c>
      <c r="G38" t="s">
        <v>45</v>
      </c>
      <c r="H38">
        <v>1</v>
      </c>
      <c r="I38">
        <v>1</v>
      </c>
      <c r="J38">
        <v>3.1550664000000004</v>
      </c>
      <c r="K38" s="6">
        <v>72</v>
      </c>
      <c r="L38" s="6">
        <v>608</v>
      </c>
      <c r="M38" s="6">
        <v>1288.28</v>
      </c>
      <c r="N38" s="6">
        <v>712</v>
      </c>
      <c r="O38" s="6">
        <v>1256</v>
      </c>
      <c r="P38" s="6">
        <v>544</v>
      </c>
      <c r="Q38" s="6">
        <v>88</v>
      </c>
      <c r="R38" s="6">
        <v>368</v>
      </c>
      <c r="S38" s="6">
        <v>264</v>
      </c>
      <c r="T38" s="6">
        <v>176</v>
      </c>
      <c r="U38" s="6">
        <v>384</v>
      </c>
      <c r="V38" s="6">
        <v>808</v>
      </c>
      <c r="W38">
        <v>2</v>
      </c>
      <c r="X38">
        <v>90</v>
      </c>
      <c r="Y38">
        <v>1874</v>
      </c>
      <c r="Z38">
        <v>1874</v>
      </c>
      <c r="AA38">
        <v>0</v>
      </c>
      <c r="AB38">
        <v>3123</v>
      </c>
      <c r="AC38">
        <v>1442.89</v>
      </c>
      <c r="AD38">
        <v>0</v>
      </c>
      <c r="AE38">
        <v>6568.28</v>
      </c>
      <c r="AF38">
        <v>6568.28</v>
      </c>
      <c r="AG38">
        <v>0.5877457142857142</v>
      </c>
      <c r="AH38">
        <v>20512738.439999998</v>
      </c>
      <c r="AI38">
        <v>9477305.5292000007</v>
      </c>
      <c r="AJ38">
        <v>11035432.910799997</v>
      </c>
      <c r="AK38">
        <v>2703975.8600000003</v>
      </c>
      <c r="AL38" s="4">
        <v>3.5049519743863393</v>
      </c>
      <c r="AM38">
        <f t="shared" si="0"/>
        <v>3.4237273685043879</v>
      </c>
      <c r="AN38" s="5">
        <v>547.35666666666668</v>
      </c>
      <c r="AO38" s="4">
        <v>3.1651680000000004</v>
      </c>
      <c r="AQ38">
        <v>0.5</v>
      </c>
    </row>
    <row r="39" spans="1:43" x14ac:dyDescent="0.25">
      <c r="A39">
        <v>38</v>
      </c>
      <c r="B39" t="s">
        <v>82</v>
      </c>
      <c r="C39" t="s">
        <v>44</v>
      </c>
      <c r="D39" t="s">
        <v>82</v>
      </c>
      <c r="E39" t="s">
        <v>124</v>
      </c>
      <c r="F39" t="s">
        <v>45</v>
      </c>
      <c r="G39" t="s">
        <v>45</v>
      </c>
      <c r="H39">
        <v>1</v>
      </c>
      <c r="I39">
        <v>1</v>
      </c>
      <c r="J39">
        <v>0.49648500000000012</v>
      </c>
      <c r="K39" s="6">
        <v>799</v>
      </c>
      <c r="L39" s="6">
        <v>1071</v>
      </c>
      <c r="M39" s="6">
        <v>831</v>
      </c>
      <c r="N39" s="6">
        <v>447</v>
      </c>
      <c r="O39" s="6">
        <v>652</v>
      </c>
      <c r="P39" s="6">
        <v>531</v>
      </c>
      <c r="Q39" s="6">
        <v>296</v>
      </c>
      <c r="R39" s="6">
        <v>333</v>
      </c>
      <c r="S39" s="6">
        <v>299</v>
      </c>
      <c r="T39" s="6">
        <v>647</v>
      </c>
      <c r="U39" s="6">
        <v>493</v>
      </c>
      <c r="V39" s="6">
        <v>318</v>
      </c>
      <c r="W39">
        <v>3</v>
      </c>
      <c r="X39">
        <v>90</v>
      </c>
      <c r="Y39">
        <v>1683</v>
      </c>
      <c r="Z39">
        <v>1683</v>
      </c>
      <c r="AA39">
        <v>0</v>
      </c>
      <c r="AB39">
        <v>3045</v>
      </c>
      <c r="AC39">
        <v>695.56</v>
      </c>
      <c r="AD39">
        <v>0</v>
      </c>
      <c r="AE39">
        <v>6717</v>
      </c>
      <c r="AF39">
        <v>6717</v>
      </c>
      <c r="AG39">
        <v>0.77157307060755342</v>
      </c>
      <c r="AH39">
        <v>20453265</v>
      </c>
      <c r="AI39">
        <v>4672076.5199999996</v>
      </c>
      <c r="AJ39">
        <v>15781188.48</v>
      </c>
      <c r="AK39">
        <v>1170627.48</v>
      </c>
      <c r="AL39" s="4">
        <v>3.9910873440285202</v>
      </c>
      <c r="AM39">
        <f t="shared" si="0"/>
        <v>3.0066994193836538</v>
      </c>
      <c r="AN39" s="5">
        <v>559.75</v>
      </c>
      <c r="AO39" s="4">
        <v>4.9598350000000018</v>
      </c>
      <c r="AQ39">
        <v>0.5</v>
      </c>
    </row>
    <row r="40" spans="1:43" x14ac:dyDescent="0.25">
      <c r="A40">
        <v>39</v>
      </c>
      <c r="B40" t="s">
        <v>82</v>
      </c>
      <c r="C40" t="s">
        <v>44</v>
      </c>
      <c r="D40" t="s">
        <v>82</v>
      </c>
      <c r="E40" t="s">
        <v>125</v>
      </c>
      <c r="F40" t="s">
        <v>45</v>
      </c>
      <c r="G40" t="s">
        <v>45</v>
      </c>
      <c r="H40">
        <v>1</v>
      </c>
      <c r="I40">
        <v>1</v>
      </c>
      <c r="J40">
        <v>1.4112E-2</v>
      </c>
      <c r="K40" s="6">
        <v>1463</v>
      </c>
      <c r="L40" s="6">
        <v>1040</v>
      </c>
      <c r="M40" s="6">
        <v>704</v>
      </c>
      <c r="N40" s="6">
        <v>881</v>
      </c>
      <c r="O40" s="6">
        <v>1161</v>
      </c>
      <c r="P40" s="6">
        <v>912</v>
      </c>
      <c r="Q40" s="6">
        <v>846</v>
      </c>
      <c r="R40" s="6">
        <v>908</v>
      </c>
      <c r="S40" s="6">
        <v>749</v>
      </c>
      <c r="T40" s="6">
        <v>1306</v>
      </c>
      <c r="U40" s="6">
        <v>1145</v>
      </c>
      <c r="V40" s="6">
        <v>934</v>
      </c>
      <c r="W40">
        <v>0</v>
      </c>
      <c r="X40">
        <v>90</v>
      </c>
      <c r="Y40">
        <v>98</v>
      </c>
      <c r="Z40">
        <v>98</v>
      </c>
      <c r="AA40">
        <v>0</v>
      </c>
      <c r="AB40">
        <v>1645</v>
      </c>
      <c r="AC40">
        <v>568.45000000000005</v>
      </c>
      <c r="AD40">
        <v>0</v>
      </c>
      <c r="AE40">
        <v>12049</v>
      </c>
      <c r="AF40">
        <v>12049</v>
      </c>
      <c r="AG40">
        <v>0.65443768996960483</v>
      </c>
      <c r="AH40">
        <v>19820605</v>
      </c>
      <c r="AI40">
        <v>6849254.0500000007</v>
      </c>
      <c r="AJ40">
        <v>12971350.949999999</v>
      </c>
      <c r="AK40">
        <v>55708.100000000006</v>
      </c>
      <c r="AL40" s="4">
        <v>122.94897959183673</v>
      </c>
      <c r="AM40">
        <f t="shared" si="0"/>
        <v>9.7601460702132964E-2</v>
      </c>
      <c r="AN40" s="5">
        <v>1004.0833333333334</v>
      </c>
      <c r="AO40" s="4">
        <v>9.3840000000000021E-2</v>
      </c>
      <c r="AQ40">
        <v>0.5</v>
      </c>
    </row>
    <row r="41" spans="1:43" x14ac:dyDescent="0.25">
      <c r="A41">
        <v>40</v>
      </c>
      <c r="B41" t="s">
        <v>83</v>
      </c>
      <c r="C41" t="s">
        <v>44</v>
      </c>
      <c r="D41" t="s">
        <v>83</v>
      </c>
      <c r="E41" t="s">
        <v>126</v>
      </c>
      <c r="F41" t="s">
        <v>45</v>
      </c>
      <c r="G41" t="s">
        <v>45</v>
      </c>
      <c r="H41">
        <v>1</v>
      </c>
      <c r="I41">
        <v>1</v>
      </c>
      <c r="J41">
        <v>45.472000000000001</v>
      </c>
      <c r="K41" s="6">
        <v>25.626847290640395</v>
      </c>
      <c r="L41" s="6">
        <v>9.4991789819376038</v>
      </c>
      <c r="M41" s="6">
        <v>18.627668308702791</v>
      </c>
      <c r="N41" s="6">
        <v>13.248357963875206</v>
      </c>
      <c r="O41" s="6">
        <v>21.7491789819376</v>
      </c>
      <c r="P41" s="6">
        <v>24.379310344827587</v>
      </c>
      <c r="Q41" s="6">
        <v>24.874384236453206</v>
      </c>
      <c r="R41" s="6">
        <v>25.644499178981938</v>
      </c>
      <c r="S41" s="6">
        <v>21.996305418719214</v>
      </c>
      <c r="T41" s="6">
        <v>25.944581280788178</v>
      </c>
      <c r="U41" s="6">
        <v>2.5673234811165844</v>
      </c>
      <c r="V41" s="6">
        <v>15.475779967159278</v>
      </c>
      <c r="W41">
        <v>6</v>
      </c>
      <c r="X41">
        <v>90</v>
      </c>
      <c r="Y41">
        <v>233.33333333333334</v>
      </c>
      <c r="Z41">
        <v>233.33333333333334</v>
      </c>
      <c r="AA41">
        <v>0</v>
      </c>
      <c r="AB41">
        <v>85260</v>
      </c>
      <c r="AC41">
        <v>54693.81</v>
      </c>
      <c r="AD41">
        <v>0</v>
      </c>
      <c r="AE41">
        <v>229.63341543513957</v>
      </c>
      <c r="AF41">
        <v>229.63341543513957</v>
      </c>
      <c r="AG41">
        <v>0.35850562983814221</v>
      </c>
      <c r="AH41">
        <v>19578545</v>
      </c>
      <c r="AI41">
        <v>12559526.39346059</v>
      </c>
      <c r="AJ41">
        <v>7019018.6065394096</v>
      </c>
      <c r="AK41">
        <v>12761889</v>
      </c>
      <c r="AL41" s="4">
        <v>0.98414320900774099</v>
      </c>
      <c r="AM41">
        <f t="shared" si="0"/>
        <v>12.193347360592934</v>
      </c>
      <c r="AN41" s="5">
        <v>19.136117952928299</v>
      </c>
      <c r="AO41" s="4">
        <v>45.60192</v>
      </c>
      <c r="AQ41">
        <v>0.5</v>
      </c>
    </row>
    <row r="42" spans="1:43" x14ac:dyDescent="0.25">
      <c r="A42">
        <v>41</v>
      </c>
      <c r="B42" t="s">
        <v>83</v>
      </c>
      <c r="C42" t="s">
        <v>44</v>
      </c>
      <c r="D42" t="s">
        <v>83</v>
      </c>
      <c r="E42" t="s">
        <v>127</v>
      </c>
      <c r="F42" t="s">
        <v>45</v>
      </c>
      <c r="G42" t="s">
        <v>45</v>
      </c>
      <c r="H42">
        <v>1</v>
      </c>
      <c r="I42">
        <v>1</v>
      </c>
      <c r="J42">
        <v>0.61122600000000016</v>
      </c>
      <c r="K42" s="6">
        <v>1266.3</v>
      </c>
      <c r="L42" s="6">
        <v>1440.6</v>
      </c>
      <c r="M42" s="6">
        <v>1033.2</v>
      </c>
      <c r="N42" s="6">
        <v>1365</v>
      </c>
      <c r="O42" s="6">
        <v>1753.5</v>
      </c>
      <c r="P42" s="6">
        <v>1268.4000000000001</v>
      </c>
      <c r="Q42" s="6">
        <v>1396.5</v>
      </c>
      <c r="R42" s="6">
        <v>2598</v>
      </c>
      <c r="S42" s="6">
        <v>1711.5</v>
      </c>
      <c r="T42" s="6">
        <v>1650.9</v>
      </c>
      <c r="U42" s="6">
        <v>501.9</v>
      </c>
      <c r="V42" s="6">
        <v>1102.5</v>
      </c>
      <c r="W42">
        <v>12</v>
      </c>
      <c r="X42">
        <v>90</v>
      </c>
      <c r="Y42">
        <v>693</v>
      </c>
      <c r="Z42">
        <v>693</v>
      </c>
      <c r="AA42">
        <v>0</v>
      </c>
      <c r="AB42">
        <v>1123</v>
      </c>
      <c r="AC42">
        <v>956.11</v>
      </c>
      <c r="AD42">
        <v>0</v>
      </c>
      <c r="AE42">
        <v>17088.3</v>
      </c>
      <c r="AF42">
        <v>17088.3</v>
      </c>
      <c r="AG42">
        <v>0.14861086375779159</v>
      </c>
      <c r="AH42">
        <v>19190160.899999999</v>
      </c>
      <c r="AI42">
        <v>16338294.513</v>
      </c>
      <c r="AJ42">
        <v>2851866.3869999982</v>
      </c>
      <c r="AK42">
        <v>662584.23</v>
      </c>
      <c r="AL42" s="4">
        <v>24.658441558441559</v>
      </c>
      <c r="AM42">
        <f t="shared" si="0"/>
        <v>0.48664875967767418</v>
      </c>
      <c r="AN42" s="5">
        <v>1424.0249999999999</v>
      </c>
      <c r="AO42" s="4">
        <v>0.37800000000000011</v>
      </c>
      <c r="AQ42">
        <v>0.5</v>
      </c>
    </row>
    <row r="43" spans="1:43" x14ac:dyDescent="0.25">
      <c r="A43">
        <v>42</v>
      </c>
      <c r="B43" t="s">
        <v>83</v>
      </c>
      <c r="C43" t="s">
        <v>44</v>
      </c>
      <c r="D43" t="s">
        <v>83</v>
      </c>
      <c r="E43" t="s">
        <v>128</v>
      </c>
      <c r="F43" t="s">
        <v>45</v>
      </c>
      <c r="G43" t="s">
        <v>45</v>
      </c>
      <c r="H43">
        <v>1</v>
      </c>
      <c r="I43">
        <v>1</v>
      </c>
      <c r="J43">
        <v>0.19152</v>
      </c>
      <c r="K43" s="6">
        <v>499.7</v>
      </c>
      <c r="L43" s="6">
        <v>777.57</v>
      </c>
      <c r="M43" s="6">
        <v>503.58</v>
      </c>
      <c r="N43" s="6">
        <v>614.79999999999995</v>
      </c>
      <c r="O43" s="6">
        <v>669.33</v>
      </c>
      <c r="P43" s="6">
        <v>532.01</v>
      </c>
      <c r="Q43" s="6">
        <v>517.04</v>
      </c>
      <c r="R43" s="6">
        <v>936.54</v>
      </c>
      <c r="S43" s="6">
        <v>665.96</v>
      </c>
      <c r="T43" s="6">
        <v>742.32</v>
      </c>
      <c r="U43" s="6">
        <v>610.35</v>
      </c>
      <c r="V43" s="6">
        <v>425.28</v>
      </c>
      <c r="W43">
        <v>1</v>
      </c>
      <c r="X43">
        <v>90</v>
      </c>
      <c r="Y43">
        <v>152</v>
      </c>
      <c r="Z43">
        <v>152</v>
      </c>
      <c r="AA43">
        <v>0</v>
      </c>
      <c r="AB43">
        <v>2512</v>
      </c>
      <c r="AC43">
        <v>967.04</v>
      </c>
      <c r="AD43">
        <v>0</v>
      </c>
      <c r="AE43">
        <v>7494.48</v>
      </c>
      <c r="AF43">
        <v>7494.48</v>
      </c>
      <c r="AG43">
        <v>0.61503184713375803</v>
      </c>
      <c r="AH43">
        <v>18826133.759999998</v>
      </c>
      <c r="AI43">
        <v>7247461.939199999</v>
      </c>
      <c r="AJ43">
        <v>11578671.820799999</v>
      </c>
      <c r="AK43">
        <v>146990.07999999999</v>
      </c>
      <c r="AL43" s="4">
        <v>49.305789473684207</v>
      </c>
      <c r="AM43">
        <f t="shared" si="0"/>
        <v>0.24337912703749962</v>
      </c>
      <c r="AN43" s="5">
        <v>624.54</v>
      </c>
      <c r="AO43" s="4">
        <v>0.65100000000000013</v>
      </c>
      <c r="AQ43">
        <v>0.5</v>
      </c>
    </row>
    <row r="44" spans="1:43" x14ac:dyDescent="0.25">
      <c r="A44">
        <v>43</v>
      </c>
      <c r="B44" t="s">
        <v>82</v>
      </c>
      <c r="C44" t="s">
        <v>44</v>
      </c>
      <c r="D44" t="s">
        <v>82</v>
      </c>
      <c r="E44" t="s">
        <v>129</v>
      </c>
      <c r="F44" t="s">
        <v>45</v>
      </c>
      <c r="G44" t="s">
        <v>45</v>
      </c>
      <c r="H44">
        <v>1</v>
      </c>
      <c r="I44">
        <v>1</v>
      </c>
      <c r="J44">
        <v>187.42884000000004</v>
      </c>
      <c r="K44" s="6">
        <v>995</v>
      </c>
      <c r="L44" s="6">
        <v>513</v>
      </c>
      <c r="M44" s="6">
        <v>656</v>
      </c>
      <c r="N44" s="6">
        <v>743</v>
      </c>
      <c r="O44" s="6">
        <v>714</v>
      </c>
      <c r="P44" s="6">
        <v>519</v>
      </c>
      <c r="Q44" s="6">
        <v>540</v>
      </c>
      <c r="R44" s="6">
        <v>570</v>
      </c>
      <c r="S44" s="6">
        <v>325</v>
      </c>
      <c r="T44" s="6">
        <v>575</v>
      </c>
      <c r="U44" s="6">
        <v>551</v>
      </c>
      <c r="V44" s="6">
        <v>1188</v>
      </c>
      <c r="W44">
        <v>23</v>
      </c>
      <c r="X44">
        <v>90</v>
      </c>
      <c r="Y44">
        <v>26473</v>
      </c>
      <c r="Z44">
        <v>26473</v>
      </c>
      <c r="AA44">
        <v>0</v>
      </c>
      <c r="AB44">
        <v>2370</v>
      </c>
      <c r="AC44">
        <v>1104.01</v>
      </c>
      <c r="AD44">
        <v>0</v>
      </c>
      <c r="AE44">
        <v>7889</v>
      </c>
      <c r="AF44">
        <v>7889</v>
      </c>
      <c r="AG44">
        <v>0.53417299578059074</v>
      </c>
      <c r="AH44">
        <v>18696930</v>
      </c>
      <c r="AI44">
        <v>8709534.8900000006</v>
      </c>
      <c r="AJ44">
        <v>9987395.1099999994</v>
      </c>
      <c r="AK44">
        <v>29226456.73</v>
      </c>
      <c r="AL44" s="4">
        <v>0.29800173761946136</v>
      </c>
      <c r="AM44">
        <f t="shared" si="0"/>
        <v>40.268221574344018</v>
      </c>
      <c r="AN44" s="5">
        <v>657.41666666666663</v>
      </c>
      <c r="AO44" s="4">
        <v>305.43356000000006</v>
      </c>
      <c r="AQ44">
        <v>0.5</v>
      </c>
    </row>
    <row r="45" spans="1:43" x14ac:dyDescent="0.25">
      <c r="A45">
        <v>44</v>
      </c>
      <c r="B45" t="s">
        <v>84</v>
      </c>
      <c r="C45" t="s">
        <v>44</v>
      </c>
      <c r="D45" t="s">
        <v>84</v>
      </c>
      <c r="E45" t="s">
        <v>130</v>
      </c>
      <c r="F45" t="s">
        <v>45</v>
      </c>
      <c r="G45" t="s">
        <v>45</v>
      </c>
      <c r="H45">
        <v>1</v>
      </c>
      <c r="I45">
        <v>1</v>
      </c>
      <c r="J45">
        <v>0.25867200000000001</v>
      </c>
      <c r="K45" s="6">
        <v>382</v>
      </c>
      <c r="L45" s="6">
        <v>585</v>
      </c>
      <c r="M45" s="6">
        <v>674</v>
      </c>
      <c r="N45" s="6">
        <v>749</v>
      </c>
      <c r="O45" s="6">
        <v>403</v>
      </c>
      <c r="P45" s="6">
        <v>573</v>
      </c>
      <c r="Q45" s="6">
        <v>568</v>
      </c>
      <c r="R45" s="6">
        <v>208</v>
      </c>
      <c r="S45" s="6">
        <v>364</v>
      </c>
      <c r="T45" s="6">
        <v>262</v>
      </c>
      <c r="U45" s="6">
        <v>221</v>
      </c>
      <c r="V45" s="6">
        <v>194</v>
      </c>
      <c r="W45">
        <v>1</v>
      </c>
      <c r="X45">
        <v>90</v>
      </c>
      <c r="Y45">
        <v>634</v>
      </c>
      <c r="Z45">
        <v>634</v>
      </c>
      <c r="AA45">
        <v>0</v>
      </c>
      <c r="AB45">
        <v>3528</v>
      </c>
      <c r="AC45">
        <v>841.57</v>
      </c>
      <c r="AD45">
        <v>0</v>
      </c>
      <c r="AE45">
        <v>5183</v>
      </c>
      <c r="AF45">
        <v>5183</v>
      </c>
      <c r="AG45">
        <v>0.76145975056689341</v>
      </c>
      <c r="AH45">
        <v>18285624</v>
      </c>
      <c r="AI45">
        <v>4361857.3100000005</v>
      </c>
      <c r="AJ45">
        <v>13923766.689999999</v>
      </c>
      <c r="AK45">
        <v>533555.38</v>
      </c>
      <c r="AL45" s="4">
        <v>8.1750788643533134</v>
      </c>
      <c r="AM45">
        <f t="shared" si="0"/>
        <v>1.4678757476365039</v>
      </c>
      <c r="AN45" s="5">
        <v>431.91666666666669</v>
      </c>
      <c r="AO45" s="4">
        <v>0.71808000000000005</v>
      </c>
      <c r="AQ45">
        <v>0.5</v>
      </c>
    </row>
    <row r="46" spans="1:43" x14ac:dyDescent="0.25">
      <c r="A46">
        <v>45</v>
      </c>
      <c r="B46" t="s">
        <v>82</v>
      </c>
      <c r="C46" t="s">
        <v>44</v>
      </c>
      <c r="D46" t="s">
        <v>82</v>
      </c>
      <c r="E46" t="s">
        <v>131</v>
      </c>
      <c r="F46" t="s">
        <v>45</v>
      </c>
      <c r="G46" t="s">
        <v>45</v>
      </c>
      <c r="H46">
        <v>1</v>
      </c>
      <c r="I46">
        <v>1</v>
      </c>
      <c r="J46">
        <v>0.76605600000000007</v>
      </c>
      <c r="K46" s="6">
        <v>774</v>
      </c>
      <c r="L46" s="6">
        <v>591</v>
      </c>
      <c r="M46" s="6">
        <v>506</v>
      </c>
      <c r="N46" s="6">
        <v>560</v>
      </c>
      <c r="O46" s="6">
        <v>649</v>
      </c>
      <c r="P46" s="6">
        <v>858</v>
      </c>
      <c r="Q46" s="6">
        <v>595</v>
      </c>
      <c r="R46" s="6">
        <v>1071</v>
      </c>
      <c r="S46" s="6">
        <v>375</v>
      </c>
      <c r="T46" s="6">
        <v>419</v>
      </c>
      <c r="U46" s="6">
        <v>469</v>
      </c>
      <c r="V46" s="6">
        <v>555</v>
      </c>
      <c r="W46">
        <v>3</v>
      </c>
      <c r="X46">
        <v>90</v>
      </c>
      <c r="Y46">
        <v>3246</v>
      </c>
      <c r="Z46">
        <v>3246</v>
      </c>
      <c r="AA46">
        <v>0</v>
      </c>
      <c r="AB46">
        <v>2377</v>
      </c>
      <c r="AC46">
        <v>491.47</v>
      </c>
      <c r="AD46">
        <v>0</v>
      </c>
      <c r="AE46">
        <v>7422</v>
      </c>
      <c r="AF46">
        <v>7422</v>
      </c>
      <c r="AG46">
        <v>0.79323937736642824</v>
      </c>
      <c r="AH46">
        <v>17642094</v>
      </c>
      <c r="AI46">
        <v>3647690.3400000003</v>
      </c>
      <c r="AJ46">
        <v>13994403.66</v>
      </c>
      <c r="AK46">
        <v>1595311.62</v>
      </c>
      <c r="AL46" s="4">
        <v>2.2865064695009241</v>
      </c>
      <c r="AM46">
        <f t="shared" si="0"/>
        <v>5.2481810832659663</v>
      </c>
      <c r="AN46" s="5">
        <v>618.5</v>
      </c>
      <c r="AO46" s="4">
        <v>9.4582900000000016</v>
      </c>
      <c r="AQ46">
        <v>0.5</v>
      </c>
    </row>
    <row r="47" spans="1:43" x14ac:dyDescent="0.25">
      <c r="A47">
        <v>46</v>
      </c>
      <c r="B47" t="s">
        <v>82</v>
      </c>
      <c r="C47" t="s">
        <v>44</v>
      </c>
      <c r="D47" t="s">
        <v>82</v>
      </c>
      <c r="E47" t="s">
        <v>132</v>
      </c>
      <c r="F47" t="s">
        <v>45</v>
      </c>
      <c r="G47" t="s">
        <v>45</v>
      </c>
      <c r="H47">
        <v>1</v>
      </c>
      <c r="I47">
        <v>1</v>
      </c>
      <c r="J47">
        <v>0.34715600000000002</v>
      </c>
      <c r="K47" s="6">
        <v>108</v>
      </c>
      <c r="L47" s="6">
        <v>503</v>
      </c>
      <c r="M47" s="6">
        <v>863</v>
      </c>
      <c r="N47" s="6">
        <v>388</v>
      </c>
      <c r="O47" s="6">
        <v>339</v>
      </c>
      <c r="P47" s="6">
        <v>393</v>
      </c>
      <c r="Q47" s="6">
        <v>46</v>
      </c>
      <c r="R47" s="6">
        <v>225</v>
      </c>
      <c r="S47" s="6">
        <v>176</v>
      </c>
      <c r="T47" s="6">
        <v>330</v>
      </c>
      <c r="U47" s="6">
        <v>861</v>
      </c>
      <c r="V47" s="6">
        <v>181</v>
      </c>
      <c r="W47">
        <v>0</v>
      </c>
      <c r="X47">
        <v>90</v>
      </c>
      <c r="Y47">
        <v>367.75</v>
      </c>
      <c r="Z47">
        <v>367.75</v>
      </c>
      <c r="AA47">
        <v>0</v>
      </c>
      <c r="AB47">
        <v>3750</v>
      </c>
      <c r="AC47">
        <v>2714.67</v>
      </c>
      <c r="AD47">
        <v>0</v>
      </c>
      <c r="AE47">
        <v>4413</v>
      </c>
      <c r="AF47">
        <v>4413</v>
      </c>
      <c r="AG47">
        <v>0.276088</v>
      </c>
      <c r="AH47">
        <v>16548750</v>
      </c>
      <c r="AI47">
        <v>11979838.710000001</v>
      </c>
      <c r="AJ47">
        <v>4568911.2899999991</v>
      </c>
      <c r="AK47">
        <v>998319.89250000007</v>
      </c>
      <c r="AL47" s="4">
        <v>12</v>
      </c>
      <c r="AM47">
        <f t="shared" si="0"/>
        <v>1</v>
      </c>
      <c r="AN47" s="5">
        <v>367.75</v>
      </c>
      <c r="AO47" s="4">
        <v>2.1338825000000003</v>
      </c>
      <c r="AQ47">
        <v>0.5</v>
      </c>
    </row>
    <row r="48" spans="1:43" x14ac:dyDescent="0.25">
      <c r="A48">
        <v>47</v>
      </c>
      <c r="B48" t="s">
        <v>85</v>
      </c>
      <c r="C48" t="s">
        <v>44</v>
      </c>
      <c r="D48" t="s">
        <v>85</v>
      </c>
      <c r="E48" t="s">
        <v>133</v>
      </c>
      <c r="F48" t="s">
        <v>45</v>
      </c>
      <c r="G48" t="s">
        <v>45</v>
      </c>
      <c r="H48">
        <v>1</v>
      </c>
      <c r="I48">
        <v>1</v>
      </c>
      <c r="J48">
        <v>2.1869964000000004</v>
      </c>
      <c r="K48" s="6">
        <v>768</v>
      </c>
      <c r="L48" s="6">
        <v>256</v>
      </c>
      <c r="M48" s="6">
        <v>-8</v>
      </c>
      <c r="N48" s="6">
        <v>776</v>
      </c>
      <c r="O48" s="6">
        <v>248</v>
      </c>
      <c r="P48" s="6">
        <v>1912</v>
      </c>
      <c r="Q48" s="6">
        <v>-16</v>
      </c>
      <c r="R48" s="6">
        <v>728</v>
      </c>
      <c r="S48" s="6">
        <v>40</v>
      </c>
      <c r="T48" s="6">
        <v>0</v>
      </c>
      <c r="U48" s="6">
        <v>-8</v>
      </c>
      <c r="V48" s="6">
        <v>216</v>
      </c>
      <c r="W48">
        <v>4</v>
      </c>
      <c r="X48">
        <v>90</v>
      </c>
      <c r="Y48">
        <v>1299</v>
      </c>
      <c r="Z48">
        <v>1299</v>
      </c>
      <c r="AA48">
        <v>0</v>
      </c>
      <c r="AB48">
        <v>3123</v>
      </c>
      <c r="AC48">
        <v>1448.52</v>
      </c>
      <c r="AD48">
        <v>0</v>
      </c>
      <c r="AE48">
        <v>4912</v>
      </c>
      <c r="AF48">
        <v>4912</v>
      </c>
      <c r="AG48">
        <v>0.58613714285714291</v>
      </c>
      <c r="AH48">
        <v>15340176</v>
      </c>
      <c r="AI48">
        <v>7115130.2400000002</v>
      </c>
      <c r="AJ48">
        <v>8225045.7599999998</v>
      </c>
      <c r="AK48">
        <v>1881627.48</v>
      </c>
      <c r="AL48" s="4">
        <v>3.7813702848344883</v>
      </c>
      <c r="AM48">
        <f t="shared" si="0"/>
        <v>3.1734527687296414</v>
      </c>
      <c r="AN48" s="5">
        <v>409.33333333333331</v>
      </c>
      <c r="AO48" s="4">
        <v>2.1954144000000002</v>
      </c>
      <c r="AQ48">
        <v>0.5</v>
      </c>
    </row>
    <row r="49" spans="1:43" x14ac:dyDescent="0.25">
      <c r="A49">
        <v>48</v>
      </c>
      <c r="B49" t="s">
        <v>82</v>
      </c>
      <c r="C49" t="s">
        <v>44</v>
      </c>
      <c r="D49" t="s">
        <v>82</v>
      </c>
      <c r="E49" t="s">
        <v>134</v>
      </c>
      <c r="F49" t="s">
        <v>45</v>
      </c>
      <c r="G49" t="s">
        <v>45</v>
      </c>
      <c r="H49">
        <v>1</v>
      </c>
      <c r="I49">
        <v>1</v>
      </c>
      <c r="J49">
        <v>0.37170000000000009</v>
      </c>
      <c r="K49" s="6">
        <v>699</v>
      </c>
      <c r="L49" s="6">
        <v>358</v>
      </c>
      <c r="M49" s="6">
        <v>452</v>
      </c>
      <c r="N49" s="6">
        <v>344</v>
      </c>
      <c r="O49" s="6">
        <v>313</v>
      </c>
      <c r="P49" s="6">
        <v>515</v>
      </c>
      <c r="Q49" s="6">
        <v>506</v>
      </c>
      <c r="R49" s="6">
        <v>397</v>
      </c>
      <c r="S49" s="6">
        <v>244</v>
      </c>
      <c r="T49" s="6">
        <v>294</v>
      </c>
      <c r="U49" s="6">
        <v>546</v>
      </c>
      <c r="V49" s="6">
        <v>361</v>
      </c>
      <c r="W49">
        <v>6</v>
      </c>
      <c r="X49">
        <v>90</v>
      </c>
      <c r="Y49">
        <v>1260</v>
      </c>
      <c r="Z49">
        <v>1260</v>
      </c>
      <c r="AA49">
        <v>0</v>
      </c>
      <c r="AB49">
        <v>3045</v>
      </c>
      <c r="AC49">
        <v>689.22</v>
      </c>
      <c r="AD49">
        <v>0</v>
      </c>
      <c r="AE49">
        <v>5029</v>
      </c>
      <c r="AF49">
        <v>5029</v>
      </c>
      <c r="AG49">
        <v>0.773655172413793</v>
      </c>
      <c r="AH49">
        <v>15313305</v>
      </c>
      <c r="AI49">
        <v>3466087.3800000004</v>
      </c>
      <c r="AJ49">
        <v>11847217.619999999</v>
      </c>
      <c r="AK49">
        <v>868417.20000000007</v>
      </c>
      <c r="AL49" s="4">
        <v>3.9912698412698413</v>
      </c>
      <c r="AM49">
        <f t="shared" si="0"/>
        <v>3.0065619407436865</v>
      </c>
      <c r="AN49" s="5">
        <v>419.08333333333331</v>
      </c>
      <c r="AO49" s="4">
        <v>3.691040000000001</v>
      </c>
      <c r="AQ49">
        <v>0.5</v>
      </c>
    </row>
    <row r="50" spans="1:43" x14ac:dyDescent="0.25">
      <c r="A50">
        <v>49</v>
      </c>
      <c r="B50" t="s">
        <v>82</v>
      </c>
      <c r="C50" t="s">
        <v>44</v>
      </c>
      <c r="D50" t="s">
        <v>82</v>
      </c>
      <c r="E50" t="s">
        <v>135</v>
      </c>
      <c r="F50" t="s">
        <v>45</v>
      </c>
      <c r="G50" t="s">
        <v>45</v>
      </c>
      <c r="H50">
        <v>1</v>
      </c>
      <c r="I50">
        <v>1</v>
      </c>
      <c r="J50">
        <v>3.0208000000000002E-2</v>
      </c>
      <c r="K50" s="6">
        <v>940</v>
      </c>
      <c r="L50" s="6">
        <v>441</v>
      </c>
      <c r="M50" s="6">
        <v>152</v>
      </c>
      <c r="N50" s="6">
        <v>134</v>
      </c>
      <c r="O50" s="6">
        <v>340</v>
      </c>
      <c r="P50" s="6">
        <v>176</v>
      </c>
      <c r="Q50" s="6">
        <v>282</v>
      </c>
      <c r="R50" s="6">
        <v>352</v>
      </c>
      <c r="S50" s="6">
        <v>227</v>
      </c>
      <c r="T50" s="6">
        <v>473</v>
      </c>
      <c r="U50" s="6">
        <v>232</v>
      </c>
      <c r="V50" s="6">
        <v>319</v>
      </c>
      <c r="W50">
        <v>1</v>
      </c>
      <c r="X50">
        <v>90</v>
      </c>
      <c r="Y50">
        <v>32</v>
      </c>
      <c r="Z50">
        <v>32</v>
      </c>
      <c r="AA50">
        <v>0</v>
      </c>
      <c r="AB50">
        <v>3750</v>
      </c>
      <c r="AC50">
        <v>1325.5</v>
      </c>
      <c r="AD50">
        <v>0</v>
      </c>
      <c r="AE50">
        <v>4068</v>
      </c>
      <c r="AF50">
        <v>4068</v>
      </c>
      <c r="AG50">
        <v>0.64653333333333329</v>
      </c>
      <c r="AH50">
        <v>15255000</v>
      </c>
      <c r="AI50">
        <v>5392134</v>
      </c>
      <c r="AJ50">
        <v>9862866</v>
      </c>
      <c r="AK50">
        <v>42416</v>
      </c>
      <c r="AL50" s="4">
        <v>127.125</v>
      </c>
      <c r="AM50">
        <f t="shared" si="0"/>
        <v>9.4395280235988199E-2</v>
      </c>
      <c r="AN50" s="5">
        <v>339</v>
      </c>
      <c r="AO50" s="4">
        <v>0.23069000000000006</v>
      </c>
      <c r="AQ50">
        <v>0.5</v>
      </c>
    </row>
    <row r="51" spans="1:43" x14ac:dyDescent="0.25">
      <c r="A51">
        <v>50</v>
      </c>
      <c r="B51" t="s">
        <v>84</v>
      </c>
      <c r="C51" t="s">
        <v>44</v>
      </c>
      <c r="D51" t="s">
        <v>84</v>
      </c>
      <c r="E51" t="s">
        <v>136</v>
      </c>
      <c r="F51" t="s">
        <v>45</v>
      </c>
      <c r="G51" t="s">
        <v>45</v>
      </c>
      <c r="H51">
        <v>1</v>
      </c>
      <c r="I51">
        <v>1</v>
      </c>
      <c r="J51">
        <v>9.7200000000000012E-3</v>
      </c>
      <c r="K51" s="6">
        <v>239</v>
      </c>
      <c r="L51" s="6">
        <v>198</v>
      </c>
      <c r="M51" s="6">
        <v>196</v>
      </c>
      <c r="N51" s="6">
        <v>141</v>
      </c>
      <c r="O51" s="6">
        <v>116</v>
      </c>
      <c r="P51" s="6">
        <v>107</v>
      </c>
      <c r="Q51" s="6">
        <v>255</v>
      </c>
      <c r="R51" s="6">
        <v>110</v>
      </c>
      <c r="S51" s="6">
        <v>155</v>
      </c>
      <c r="T51" s="6">
        <v>211</v>
      </c>
      <c r="U51" s="6">
        <v>130</v>
      </c>
      <c r="V51" s="6">
        <v>85</v>
      </c>
      <c r="W51">
        <v>0</v>
      </c>
      <c r="X51">
        <v>90</v>
      </c>
      <c r="Y51">
        <v>20</v>
      </c>
      <c r="Z51">
        <v>20</v>
      </c>
      <c r="AA51">
        <v>0</v>
      </c>
      <c r="AB51">
        <v>7512</v>
      </c>
      <c r="AC51">
        <v>1921.01</v>
      </c>
      <c r="AD51">
        <v>0</v>
      </c>
      <c r="AE51">
        <v>1943</v>
      </c>
      <c r="AF51">
        <v>1943</v>
      </c>
      <c r="AG51">
        <v>0.74427449414270497</v>
      </c>
      <c r="AH51">
        <v>14595816</v>
      </c>
      <c r="AI51">
        <v>3732522.43</v>
      </c>
      <c r="AJ51">
        <v>10863293.57</v>
      </c>
      <c r="AK51">
        <v>38420.199999999997</v>
      </c>
      <c r="AL51" s="4">
        <v>97.15</v>
      </c>
      <c r="AM51">
        <f t="shared" si="0"/>
        <v>0.12352032938754502</v>
      </c>
      <c r="AN51" s="5">
        <v>161.91666666666666</v>
      </c>
      <c r="AO51" s="4">
        <v>5.0490000000000014E-2</v>
      </c>
      <c r="AQ51">
        <v>0.5</v>
      </c>
    </row>
    <row r="52" spans="1:43" x14ac:dyDescent="0.25">
      <c r="A52">
        <v>51</v>
      </c>
      <c r="B52" t="s">
        <v>82</v>
      </c>
      <c r="C52" t="s">
        <v>44</v>
      </c>
      <c r="D52" t="s">
        <v>82</v>
      </c>
      <c r="E52" t="s">
        <v>137</v>
      </c>
      <c r="F52" t="s">
        <v>45</v>
      </c>
      <c r="G52" t="s">
        <v>45</v>
      </c>
      <c r="H52">
        <v>1</v>
      </c>
      <c r="I52">
        <v>1</v>
      </c>
      <c r="J52">
        <v>0.3569500000000001</v>
      </c>
      <c r="K52" s="6">
        <v>469</v>
      </c>
      <c r="L52" s="6">
        <v>386</v>
      </c>
      <c r="M52" s="6">
        <v>387</v>
      </c>
      <c r="N52" s="6">
        <v>229</v>
      </c>
      <c r="O52" s="6">
        <v>607</v>
      </c>
      <c r="P52" s="6">
        <v>287</v>
      </c>
      <c r="Q52" s="6">
        <v>354</v>
      </c>
      <c r="R52" s="6">
        <v>271</v>
      </c>
      <c r="S52" s="6">
        <v>458</v>
      </c>
      <c r="T52" s="6">
        <v>584</v>
      </c>
      <c r="U52" s="6">
        <v>341</v>
      </c>
      <c r="V52" s="6">
        <v>411</v>
      </c>
      <c r="W52">
        <v>2</v>
      </c>
      <c r="X52">
        <v>90</v>
      </c>
      <c r="Y52">
        <v>1210</v>
      </c>
      <c r="Z52">
        <v>1210</v>
      </c>
      <c r="AA52">
        <v>0</v>
      </c>
      <c r="AB52">
        <v>3045</v>
      </c>
      <c r="AC52">
        <v>669.4</v>
      </c>
      <c r="AD52">
        <v>0</v>
      </c>
      <c r="AE52">
        <v>4784</v>
      </c>
      <c r="AF52">
        <v>4784</v>
      </c>
      <c r="AG52">
        <v>0.7801642036124794</v>
      </c>
      <c r="AH52">
        <v>14567280</v>
      </c>
      <c r="AI52">
        <v>3202409.6</v>
      </c>
      <c r="AJ52">
        <v>11364870.4</v>
      </c>
      <c r="AK52">
        <v>809974</v>
      </c>
      <c r="AL52" s="4">
        <v>3.9537190082644629</v>
      </c>
      <c r="AM52">
        <f t="shared" si="0"/>
        <v>3.0351170568561874</v>
      </c>
      <c r="AN52" s="5">
        <v>398.66666666666669</v>
      </c>
      <c r="AO52" s="4">
        <v>3.575695000000001</v>
      </c>
      <c r="AQ52">
        <v>0.5</v>
      </c>
    </row>
    <row r="53" spans="1:43" x14ac:dyDescent="0.25">
      <c r="A53">
        <v>52</v>
      </c>
      <c r="B53" t="s">
        <v>83</v>
      </c>
      <c r="C53" t="s">
        <v>44</v>
      </c>
      <c r="D53" t="s">
        <v>83</v>
      </c>
      <c r="E53" t="s">
        <v>138</v>
      </c>
      <c r="F53" t="s">
        <v>45</v>
      </c>
      <c r="G53" t="s">
        <v>45</v>
      </c>
      <c r="H53">
        <v>1</v>
      </c>
      <c r="I53">
        <v>1</v>
      </c>
      <c r="J53">
        <v>0.46242</v>
      </c>
      <c r="K53" s="6">
        <v>409.82</v>
      </c>
      <c r="L53" s="6">
        <v>394.36</v>
      </c>
      <c r="M53" s="6">
        <v>387.11</v>
      </c>
      <c r="N53" s="6">
        <v>361.46</v>
      </c>
      <c r="O53" s="6">
        <v>526.19000000000005</v>
      </c>
      <c r="P53" s="6">
        <v>413.21</v>
      </c>
      <c r="Q53" s="6">
        <v>372.14</v>
      </c>
      <c r="R53" s="6">
        <v>556.74</v>
      </c>
      <c r="S53" s="6">
        <v>549.82000000000005</v>
      </c>
      <c r="T53" s="6">
        <v>514.63</v>
      </c>
      <c r="U53" s="6">
        <v>523.41</v>
      </c>
      <c r="V53" s="6">
        <v>647.92999999999995</v>
      </c>
      <c r="W53">
        <v>3</v>
      </c>
      <c r="X53">
        <v>90</v>
      </c>
      <c r="Y53">
        <v>367</v>
      </c>
      <c r="Z53">
        <v>367</v>
      </c>
      <c r="AA53">
        <v>0</v>
      </c>
      <c r="AB53">
        <v>2512</v>
      </c>
      <c r="AC53">
        <v>1000.06</v>
      </c>
      <c r="AD53">
        <v>0</v>
      </c>
      <c r="AE53">
        <v>5656.82</v>
      </c>
      <c r="AF53">
        <v>5656.82</v>
      </c>
      <c r="AG53">
        <v>0.6018869426751593</v>
      </c>
      <c r="AH53">
        <v>14209931.84</v>
      </c>
      <c r="AI53">
        <v>5657159.4091999996</v>
      </c>
      <c r="AJ53">
        <v>8552772.4308000002</v>
      </c>
      <c r="AK53">
        <v>367022.01999999996</v>
      </c>
      <c r="AL53" s="4">
        <v>15.413678474114443</v>
      </c>
      <c r="AM53">
        <f t="shared" si="0"/>
        <v>0.77852927970131625</v>
      </c>
      <c r="AN53" s="5">
        <v>471.40166666666664</v>
      </c>
      <c r="AO53" s="4">
        <v>7.7070000000000016</v>
      </c>
      <c r="AQ53">
        <v>0.5</v>
      </c>
    </row>
    <row r="54" spans="1:43" x14ac:dyDescent="0.25">
      <c r="A54">
        <v>53</v>
      </c>
      <c r="B54" t="s">
        <v>84</v>
      </c>
      <c r="C54" t="s">
        <v>44</v>
      </c>
      <c r="D54" t="s">
        <v>84</v>
      </c>
      <c r="E54" t="s">
        <v>139</v>
      </c>
      <c r="F54" t="s">
        <v>45</v>
      </c>
      <c r="G54" t="s">
        <v>45</v>
      </c>
      <c r="H54">
        <v>1</v>
      </c>
      <c r="I54">
        <v>1</v>
      </c>
      <c r="J54">
        <v>5.2319999999999998E-2</v>
      </c>
      <c r="K54" s="6">
        <v>187</v>
      </c>
      <c r="L54" s="6">
        <v>209</v>
      </c>
      <c r="M54" s="6">
        <v>239</v>
      </c>
      <c r="N54" s="6">
        <v>230</v>
      </c>
      <c r="O54" s="6">
        <v>178</v>
      </c>
      <c r="P54" s="6">
        <v>329</v>
      </c>
      <c r="Q54" s="6">
        <v>490</v>
      </c>
      <c r="R54" s="6">
        <v>199</v>
      </c>
      <c r="S54" s="6">
        <v>181</v>
      </c>
      <c r="T54" s="6">
        <v>321</v>
      </c>
      <c r="U54" s="6">
        <v>291</v>
      </c>
      <c r="V54" s="6">
        <v>181</v>
      </c>
      <c r="W54">
        <v>1</v>
      </c>
      <c r="X54">
        <v>90</v>
      </c>
      <c r="Y54">
        <v>109</v>
      </c>
      <c r="Z54">
        <v>109</v>
      </c>
      <c r="AA54">
        <v>0</v>
      </c>
      <c r="AB54">
        <v>4250</v>
      </c>
      <c r="AC54">
        <v>953.52</v>
      </c>
      <c r="AD54">
        <v>0</v>
      </c>
      <c r="AE54">
        <v>3035</v>
      </c>
      <c r="AF54">
        <v>3035</v>
      </c>
      <c r="AG54">
        <v>0.77564235294117645</v>
      </c>
      <c r="AH54">
        <v>12898750</v>
      </c>
      <c r="AI54">
        <v>2893933.1999999997</v>
      </c>
      <c r="AJ54">
        <v>10004816.800000001</v>
      </c>
      <c r="AK54">
        <v>103933.68</v>
      </c>
      <c r="AL54" s="4">
        <v>27.844036697247706</v>
      </c>
      <c r="AM54">
        <f t="shared" si="0"/>
        <v>0.43097199341021419</v>
      </c>
      <c r="AN54" s="5">
        <v>252.91666666666666</v>
      </c>
      <c r="AO54" s="4">
        <v>0.17952000000000001</v>
      </c>
      <c r="AQ54">
        <v>0.5</v>
      </c>
    </row>
    <row r="55" spans="1:43" x14ac:dyDescent="0.25">
      <c r="A55">
        <v>54</v>
      </c>
      <c r="B55" t="s">
        <v>82</v>
      </c>
      <c r="C55" t="s">
        <v>44</v>
      </c>
      <c r="D55" t="s">
        <v>82</v>
      </c>
      <c r="E55" t="s">
        <v>140</v>
      </c>
      <c r="F55" t="s">
        <v>45</v>
      </c>
      <c r="G55" t="s">
        <v>45</v>
      </c>
      <c r="H55">
        <v>1</v>
      </c>
      <c r="I55">
        <v>1</v>
      </c>
      <c r="J55">
        <v>68.683080000000018</v>
      </c>
      <c r="K55" s="6">
        <v>428</v>
      </c>
      <c r="L55" s="6">
        <v>292</v>
      </c>
      <c r="M55" s="6">
        <v>394</v>
      </c>
      <c r="N55" s="6">
        <v>162</v>
      </c>
      <c r="O55" s="6">
        <v>466</v>
      </c>
      <c r="P55" s="6">
        <v>278</v>
      </c>
      <c r="Q55" s="6">
        <v>290</v>
      </c>
      <c r="R55" s="6">
        <v>653</v>
      </c>
      <c r="S55" s="6">
        <v>666</v>
      </c>
      <c r="T55" s="6">
        <v>434</v>
      </c>
      <c r="U55" s="6">
        <v>650</v>
      </c>
      <c r="V55" s="6">
        <v>603</v>
      </c>
      <c r="W55">
        <v>15</v>
      </c>
      <c r="X55">
        <v>90</v>
      </c>
      <c r="Y55">
        <v>9701</v>
      </c>
      <c r="Z55">
        <v>9701</v>
      </c>
      <c r="AA55">
        <v>0</v>
      </c>
      <c r="AB55">
        <v>2370</v>
      </c>
      <c r="AC55">
        <v>1095.08</v>
      </c>
      <c r="AD55">
        <v>0</v>
      </c>
      <c r="AE55">
        <v>5316</v>
      </c>
      <c r="AF55">
        <v>5316</v>
      </c>
      <c r="AG55">
        <v>0.53794092827004225</v>
      </c>
      <c r="AH55">
        <v>12598920</v>
      </c>
      <c r="AI55">
        <v>5821445.2799999993</v>
      </c>
      <c r="AJ55">
        <v>6777474.7200000007</v>
      </c>
      <c r="AK55">
        <v>10623371.08</v>
      </c>
      <c r="AL55" s="4">
        <v>0.54798474384084106</v>
      </c>
      <c r="AM55">
        <f t="shared" si="0"/>
        <v>21.898419864559823</v>
      </c>
      <c r="AN55" s="5">
        <v>443</v>
      </c>
      <c r="AO55" s="4">
        <v>111.99999500000003</v>
      </c>
      <c r="AQ55">
        <v>0.5</v>
      </c>
    </row>
    <row r="56" spans="1:43" x14ac:dyDescent="0.25">
      <c r="A56">
        <v>55</v>
      </c>
      <c r="B56" t="s">
        <v>84</v>
      </c>
      <c r="C56" t="s">
        <v>44</v>
      </c>
      <c r="D56" t="s">
        <v>84</v>
      </c>
      <c r="E56" t="s">
        <v>141</v>
      </c>
      <c r="F56" t="s">
        <v>45</v>
      </c>
      <c r="G56" t="s">
        <v>45</v>
      </c>
      <c r="H56">
        <v>1</v>
      </c>
      <c r="I56">
        <v>1</v>
      </c>
      <c r="J56">
        <v>0.181917</v>
      </c>
      <c r="K56" s="6">
        <v>354</v>
      </c>
      <c r="L56" s="6">
        <v>95</v>
      </c>
      <c r="M56" s="6">
        <v>271</v>
      </c>
      <c r="N56" s="6">
        <v>52</v>
      </c>
      <c r="O56" s="6">
        <v>92</v>
      </c>
      <c r="P56" s="6">
        <v>36</v>
      </c>
      <c r="Q56" s="6">
        <v>63</v>
      </c>
      <c r="R56" s="6">
        <v>84</v>
      </c>
      <c r="S56" s="6">
        <v>53</v>
      </c>
      <c r="T56" s="6">
        <v>178</v>
      </c>
      <c r="U56" s="6">
        <v>74</v>
      </c>
      <c r="V56" s="6">
        <v>120</v>
      </c>
      <c r="W56">
        <v>0</v>
      </c>
      <c r="X56">
        <v>90</v>
      </c>
      <c r="Y56">
        <v>246</v>
      </c>
      <c r="Z56">
        <v>246</v>
      </c>
      <c r="AA56">
        <v>0</v>
      </c>
      <c r="AB56">
        <v>8200</v>
      </c>
      <c r="AC56">
        <v>1059.1600000000001</v>
      </c>
      <c r="AD56">
        <v>0</v>
      </c>
      <c r="AE56">
        <v>1472</v>
      </c>
      <c r="AF56">
        <v>1472</v>
      </c>
      <c r="AG56">
        <v>0.87083414634146339</v>
      </c>
      <c r="AH56">
        <v>12070400</v>
      </c>
      <c r="AI56">
        <v>1559083.52</v>
      </c>
      <c r="AJ56">
        <v>10511316.48</v>
      </c>
      <c r="AK56">
        <v>260553.36000000002</v>
      </c>
      <c r="AL56" s="4">
        <v>5.9837398373983737</v>
      </c>
      <c r="AM56">
        <f t="shared" si="0"/>
        <v>2.0054347826086958</v>
      </c>
      <c r="AN56" s="5">
        <v>122.66666666666667</v>
      </c>
      <c r="AO56" s="4">
        <v>0.54230000000000012</v>
      </c>
      <c r="AQ56">
        <v>0.5</v>
      </c>
    </row>
    <row r="57" spans="1:43" x14ac:dyDescent="0.25">
      <c r="A57">
        <v>56</v>
      </c>
      <c r="B57" t="s">
        <v>82</v>
      </c>
      <c r="C57" t="s">
        <v>44</v>
      </c>
      <c r="D57" t="s">
        <v>82</v>
      </c>
      <c r="E57" t="s">
        <v>142</v>
      </c>
      <c r="F57" t="s">
        <v>45</v>
      </c>
      <c r="G57" t="s">
        <v>45</v>
      </c>
      <c r="H57">
        <v>1</v>
      </c>
      <c r="I57">
        <v>1</v>
      </c>
      <c r="J57">
        <v>0.40444500000000011</v>
      </c>
      <c r="K57" s="6">
        <v>376</v>
      </c>
      <c r="L57" s="6">
        <v>412</v>
      </c>
      <c r="M57" s="6">
        <v>462</v>
      </c>
      <c r="N57" s="6">
        <v>364</v>
      </c>
      <c r="O57" s="6">
        <v>604</v>
      </c>
      <c r="P57" s="6">
        <v>717</v>
      </c>
      <c r="Q57" s="6">
        <v>373</v>
      </c>
      <c r="R57" s="6">
        <v>268</v>
      </c>
      <c r="S57" s="6">
        <v>459</v>
      </c>
      <c r="T57" s="6">
        <v>349</v>
      </c>
      <c r="U57" s="6">
        <v>440</v>
      </c>
      <c r="V57" s="6">
        <v>657</v>
      </c>
      <c r="W57">
        <v>4</v>
      </c>
      <c r="X57">
        <v>90</v>
      </c>
      <c r="Y57">
        <v>1371</v>
      </c>
      <c r="Z57">
        <v>1371</v>
      </c>
      <c r="AA57">
        <v>0</v>
      </c>
      <c r="AB57">
        <v>2200</v>
      </c>
      <c r="AC57">
        <v>588.04999999999995</v>
      </c>
      <c r="AD57">
        <v>0</v>
      </c>
      <c r="AE57">
        <v>5481</v>
      </c>
      <c r="AF57">
        <v>5481</v>
      </c>
      <c r="AG57">
        <v>0.73270454545454544</v>
      </c>
      <c r="AH57">
        <v>12058200</v>
      </c>
      <c r="AI57">
        <v>3223102.05</v>
      </c>
      <c r="AJ57">
        <v>8835097.9499999993</v>
      </c>
      <c r="AK57">
        <v>806216.54999999993</v>
      </c>
      <c r="AL57" s="4">
        <v>3.9978118161925602</v>
      </c>
      <c r="AM57">
        <f t="shared" si="0"/>
        <v>3.0016420361247946</v>
      </c>
      <c r="AN57" s="5">
        <v>456.75</v>
      </c>
      <c r="AO57" s="4">
        <v>4.0370750000000015</v>
      </c>
      <c r="AQ57">
        <v>0.5</v>
      </c>
    </row>
    <row r="58" spans="1:43" x14ac:dyDescent="0.25">
      <c r="A58">
        <v>57</v>
      </c>
      <c r="B58" t="s">
        <v>84</v>
      </c>
      <c r="C58" t="s">
        <v>44</v>
      </c>
      <c r="D58" t="s">
        <v>84</v>
      </c>
      <c r="E58" t="s">
        <v>143</v>
      </c>
      <c r="F58" t="s">
        <v>45</v>
      </c>
      <c r="G58" t="s">
        <v>45</v>
      </c>
      <c r="H58">
        <v>1</v>
      </c>
      <c r="I58">
        <v>1</v>
      </c>
      <c r="J58">
        <v>0.27945000000000003</v>
      </c>
      <c r="K58" s="6">
        <v>212</v>
      </c>
      <c r="L58" s="6">
        <v>113</v>
      </c>
      <c r="M58" s="6">
        <v>100</v>
      </c>
      <c r="N58" s="6">
        <v>48</v>
      </c>
      <c r="O58" s="6">
        <v>75</v>
      </c>
      <c r="P58" s="6">
        <v>0</v>
      </c>
      <c r="Q58" s="6">
        <v>235</v>
      </c>
      <c r="R58" s="6">
        <v>137</v>
      </c>
      <c r="S58" s="6">
        <v>399</v>
      </c>
      <c r="T58" s="6">
        <v>94</v>
      </c>
      <c r="U58" s="6">
        <v>69</v>
      </c>
      <c r="V58" s="6">
        <v>56</v>
      </c>
      <c r="W58">
        <v>0</v>
      </c>
      <c r="X58">
        <v>90</v>
      </c>
      <c r="Y58">
        <v>575</v>
      </c>
      <c r="Z58">
        <v>575</v>
      </c>
      <c r="AA58">
        <v>0</v>
      </c>
      <c r="AB58">
        <v>7512</v>
      </c>
      <c r="AC58">
        <v>1784.72</v>
      </c>
      <c r="AD58">
        <v>0</v>
      </c>
      <c r="AE58">
        <v>1538</v>
      </c>
      <c r="AF58">
        <v>1538</v>
      </c>
      <c r="AG58">
        <v>0.76241746538871136</v>
      </c>
      <c r="AH58">
        <v>11553456</v>
      </c>
      <c r="AI58">
        <v>2744899.36</v>
      </c>
      <c r="AJ58">
        <v>8808556.6400000006</v>
      </c>
      <c r="AK58">
        <v>1026214</v>
      </c>
      <c r="AL58" s="4">
        <v>2.6747826086956521</v>
      </c>
      <c r="AM58">
        <f t="shared" si="0"/>
        <v>4.4863459037711317</v>
      </c>
      <c r="AN58" s="5">
        <v>128.16666666666666</v>
      </c>
      <c r="AO58" s="4">
        <v>0.75735000000000019</v>
      </c>
      <c r="AQ58">
        <v>0.5</v>
      </c>
    </row>
    <row r="59" spans="1:43" x14ac:dyDescent="0.25">
      <c r="A59">
        <v>58</v>
      </c>
      <c r="B59" t="s">
        <v>84</v>
      </c>
      <c r="C59" t="s">
        <v>44</v>
      </c>
      <c r="D59" t="s">
        <v>84</v>
      </c>
      <c r="E59" t="s">
        <v>144</v>
      </c>
      <c r="F59" t="s">
        <v>45</v>
      </c>
      <c r="G59" t="s">
        <v>45</v>
      </c>
      <c r="H59">
        <v>1</v>
      </c>
      <c r="I59">
        <v>1</v>
      </c>
      <c r="J59">
        <v>0.14888600000000002</v>
      </c>
      <c r="K59" s="6">
        <v>339</v>
      </c>
      <c r="L59" s="6">
        <v>200</v>
      </c>
      <c r="M59" s="6">
        <v>-81</v>
      </c>
      <c r="N59" s="6">
        <v>143</v>
      </c>
      <c r="O59" s="6">
        <v>151</v>
      </c>
      <c r="P59" s="6">
        <v>4</v>
      </c>
      <c r="Q59" s="6">
        <v>6</v>
      </c>
      <c r="R59" s="6">
        <v>116</v>
      </c>
      <c r="S59" s="6">
        <v>149</v>
      </c>
      <c r="T59" s="6">
        <v>240</v>
      </c>
      <c r="U59" s="6">
        <v>95</v>
      </c>
      <c r="V59" s="6">
        <v>164</v>
      </c>
      <c r="W59">
        <v>1</v>
      </c>
      <c r="X59">
        <v>90</v>
      </c>
      <c r="Y59">
        <v>302</v>
      </c>
      <c r="Z59">
        <v>302</v>
      </c>
      <c r="AA59">
        <v>0</v>
      </c>
      <c r="AB59">
        <v>7500</v>
      </c>
      <c r="AC59">
        <v>1528.19</v>
      </c>
      <c r="AD59">
        <v>0</v>
      </c>
      <c r="AE59">
        <v>1526</v>
      </c>
      <c r="AF59">
        <v>1526</v>
      </c>
      <c r="AG59">
        <v>0.79624133333333325</v>
      </c>
      <c r="AH59">
        <v>11445000</v>
      </c>
      <c r="AI59">
        <v>2332017.94</v>
      </c>
      <c r="AJ59">
        <v>9112982.0600000005</v>
      </c>
      <c r="AK59">
        <v>461513.38</v>
      </c>
      <c r="AL59" s="4">
        <v>5.0529801324503314</v>
      </c>
      <c r="AM59">
        <f t="shared" si="0"/>
        <v>2.3748361730013103</v>
      </c>
      <c r="AN59" s="5">
        <v>127.16666666666667</v>
      </c>
      <c r="AO59" s="4">
        <v>0.70499000000000012</v>
      </c>
      <c r="AQ59">
        <v>0.5</v>
      </c>
    </row>
    <row r="60" spans="1:43" x14ac:dyDescent="0.25">
      <c r="A60">
        <v>59</v>
      </c>
      <c r="B60" t="s">
        <v>82</v>
      </c>
      <c r="C60" t="s">
        <v>44</v>
      </c>
      <c r="D60" t="s">
        <v>82</v>
      </c>
      <c r="E60" t="s">
        <v>145</v>
      </c>
      <c r="F60" t="s">
        <v>45</v>
      </c>
      <c r="G60" t="s">
        <v>45</v>
      </c>
      <c r="H60">
        <v>1</v>
      </c>
      <c r="I60">
        <v>1</v>
      </c>
      <c r="J60">
        <v>1.26024</v>
      </c>
      <c r="K60" s="6">
        <v>199</v>
      </c>
      <c r="L60" s="6">
        <v>10</v>
      </c>
      <c r="M60" s="6">
        <v>393</v>
      </c>
      <c r="N60" s="6">
        <v>251</v>
      </c>
      <c r="O60" s="6">
        <v>183</v>
      </c>
      <c r="P60" s="6">
        <v>549</v>
      </c>
      <c r="Q60" s="6">
        <v>21</v>
      </c>
      <c r="R60" s="6">
        <v>131</v>
      </c>
      <c r="S60" s="6">
        <v>404</v>
      </c>
      <c r="T60" s="6">
        <v>507</v>
      </c>
      <c r="U60" s="6">
        <v>127</v>
      </c>
      <c r="V60" s="6">
        <v>214</v>
      </c>
      <c r="W60">
        <v>3</v>
      </c>
      <c r="X60">
        <v>90</v>
      </c>
      <c r="Y60">
        <v>1335</v>
      </c>
      <c r="Z60">
        <v>1335</v>
      </c>
      <c r="AA60">
        <v>0</v>
      </c>
      <c r="AB60">
        <v>3750</v>
      </c>
      <c r="AC60">
        <v>1127.46</v>
      </c>
      <c r="AD60">
        <v>0</v>
      </c>
      <c r="AE60">
        <v>2989</v>
      </c>
      <c r="AF60">
        <v>2989</v>
      </c>
      <c r="AG60">
        <v>0.69934399999999997</v>
      </c>
      <c r="AH60">
        <v>11208750</v>
      </c>
      <c r="AI60">
        <v>3369977.94</v>
      </c>
      <c r="AJ60">
        <v>7838772.0600000005</v>
      </c>
      <c r="AK60">
        <v>1505159.1</v>
      </c>
      <c r="AL60" s="4">
        <v>2.238951310861423</v>
      </c>
      <c r="AM60">
        <f t="shared" si="0"/>
        <v>5.3596520575443298</v>
      </c>
      <c r="AN60" s="5">
        <v>249.08333333333334</v>
      </c>
      <c r="AO60" s="4">
        <v>7.7281150000000025</v>
      </c>
      <c r="AQ60">
        <v>0.5</v>
      </c>
    </row>
    <row r="61" spans="1:43" x14ac:dyDescent="0.25">
      <c r="A61">
        <v>60</v>
      </c>
      <c r="B61" t="s">
        <v>82</v>
      </c>
      <c r="C61" t="s">
        <v>44</v>
      </c>
      <c r="D61" t="s">
        <v>82</v>
      </c>
      <c r="E61" t="s">
        <v>146</v>
      </c>
      <c r="F61" t="s">
        <v>45</v>
      </c>
      <c r="G61" t="s">
        <v>45</v>
      </c>
      <c r="H61">
        <v>1</v>
      </c>
      <c r="I61">
        <v>1</v>
      </c>
      <c r="J61">
        <v>0.434448</v>
      </c>
      <c r="K61" s="6">
        <v>1062</v>
      </c>
      <c r="L61" s="6">
        <v>557</v>
      </c>
      <c r="M61" s="6">
        <v>463</v>
      </c>
      <c r="N61" s="6">
        <v>446</v>
      </c>
      <c r="O61" s="6">
        <v>839</v>
      </c>
      <c r="P61" s="6">
        <v>260</v>
      </c>
      <c r="Q61" s="6">
        <v>516</v>
      </c>
      <c r="R61" s="6">
        <v>269</v>
      </c>
      <c r="S61" s="6">
        <v>1218</v>
      </c>
      <c r="T61" s="6">
        <v>656</v>
      </c>
      <c r="U61" s="6">
        <v>325</v>
      </c>
      <c r="V61" s="6">
        <v>171</v>
      </c>
      <c r="W61">
        <v>6</v>
      </c>
      <c r="X61">
        <v>90</v>
      </c>
      <c r="Y61">
        <v>3017</v>
      </c>
      <c r="Z61">
        <v>3017</v>
      </c>
      <c r="AA61">
        <v>0</v>
      </c>
      <c r="AB61">
        <v>1645</v>
      </c>
      <c r="AC61">
        <v>503.95</v>
      </c>
      <c r="AD61">
        <v>0</v>
      </c>
      <c r="AE61">
        <v>6782</v>
      </c>
      <c r="AF61">
        <v>6782</v>
      </c>
      <c r="AG61">
        <v>0.6936474164133738</v>
      </c>
      <c r="AH61">
        <v>11156390</v>
      </c>
      <c r="AI61">
        <v>3417788.9</v>
      </c>
      <c r="AJ61">
        <v>7738601.0999999996</v>
      </c>
      <c r="AK61">
        <v>1520417.15</v>
      </c>
      <c r="AL61" s="4">
        <v>2.2479284057010274</v>
      </c>
      <c r="AM61">
        <f t="shared" si="0"/>
        <v>5.3382483043350044</v>
      </c>
      <c r="AN61" s="5">
        <v>565.16666666666663</v>
      </c>
      <c r="AO61" s="4">
        <v>1.7829600000000003</v>
      </c>
      <c r="AQ61">
        <v>0.5</v>
      </c>
    </row>
    <row r="62" spans="1:43" x14ac:dyDescent="0.25">
      <c r="A62">
        <v>61</v>
      </c>
      <c r="B62" t="s">
        <v>84</v>
      </c>
      <c r="C62" t="s">
        <v>44</v>
      </c>
      <c r="D62" t="s">
        <v>84</v>
      </c>
      <c r="E62" t="s">
        <v>147</v>
      </c>
      <c r="F62" t="s">
        <v>45</v>
      </c>
      <c r="G62" t="s">
        <v>45</v>
      </c>
      <c r="H62">
        <v>1</v>
      </c>
      <c r="I62">
        <v>1</v>
      </c>
      <c r="J62">
        <v>9.963000000000001E-2</v>
      </c>
      <c r="K62" s="6">
        <v>190</v>
      </c>
      <c r="L62" s="6">
        <v>110</v>
      </c>
      <c r="M62" s="6">
        <v>95</v>
      </c>
      <c r="N62" s="6">
        <v>68</v>
      </c>
      <c r="O62" s="6">
        <v>140</v>
      </c>
      <c r="P62" s="6">
        <v>178</v>
      </c>
      <c r="Q62" s="6">
        <v>170</v>
      </c>
      <c r="R62" s="6">
        <v>130</v>
      </c>
      <c r="S62" s="6">
        <v>196</v>
      </c>
      <c r="T62" s="6">
        <v>567</v>
      </c>
      <c r="U62" s="6">
        <v>238</v>
      </c>
      <c r="V62" s="6">
        <v>191</v>
      </c>
      <c r="W62">
        <v>1</v>
      </c>
      <c r="X62">
        <v>90</v>
      </c>
      <c r="Y62">
        <v>205</v>
      </c>
      <c r="Z62">
        <v>205</v>
      </c>
      <c r="AA62">
        <v>0</v>
      </c>
      <c r="AB62">
        <v>4678</v>
      </c>
      <c r="AC62">
        <v>1335.92</v>
      </c>
      <c r="AD62">
        <v>0</v>
      </c>
      <c r="AE62">
        <v>2273</v>
      </c>
      <c r="AF62">
        <v>2273</v>
      </c>
      <c r="AG62">
        <v>0.71442496793501498</v>
      </c>
      <c r="AH62">
        <v>10633094</v>
      </c>
      <c r="AI62">
        <v>3036546.16</v>
      </c>
      <c r="AJ62">
        <v>7596547.8399999999</v>
      </c>
      <c r="AK62">
        <v>273863.60000000003</v>
      </c>
      <c r="AL62" s="4">
        <v>11.087804878048779</v>
      </c>
      <c r="AM62">
        <f t="shared" si="0"/>
        <v>1.08227012758469</v>
      </c>
      <c r="AN62" s="5">
        <v>189.41666666666666</v>
      </c>
      <c r="AO62" s="4">
        <v>0.3029400000000001</v>
      </c>
      <c r="AQ62">
        <v>0.5</v>
      </c>
    </row>
    <row r="63" spans="1:43" x14ac:dyDescent="0.25">
      <c r="A63">
        <v>62</v>
      </c>
      <c r="B63" t="s">
        <v>85</v>
      </c>
      <c r="C63" t="s">
        <v>44</v>
      </c>
      <c r="D63" t="s">
        <v>85</v>
      </c>
      <c r="E63" t="s">
        <v>148</v>
      </c>
      <c r="F63" t="s">
        <v>45</v>
      </c>
      <c r="G63" t="s">
        <v>45</v>
      </c>
      <c r="H63">
        <v>1</v>
      </c>
      <c r="I63">
        <v>1</v>
      </c>
      <c r="J63">
        <v>1.2344447999999999</v>
      </c>
      <c r="K63" s="6">
        <v>0</v>
      </c>
      <c r="L63" s="6">
        <v>0</v>
      </c>
      <c r="M63" s="6">
        <v>0</v>
      </c>
      <c r="N63" s="6">
        <v>240</v>
      </c>
      <c r="O63" s="6">
        <v>8</v>
      </c>
      <c r="P63" s="6">
        <v>192</v>
      </c>
      <c r="Q63" s="6">
        <v>0</v>
      </c>
      <c r="R63" s="6">
        <v>600</v>
      </c>
      <c r="S63" s="6">
        <v>184</v>
      </c>
      <c r="T63" s="6">
        <v>1312</v>
      </c>
      <c r="U63" s="6">
        <v>304</v>
      </c>
      <c r="V63" s="6">
        <v>352</v>
      </c>
      <c r="W63">
        <v>1</v>
      </c>
      <c r="X63">
        <v>90</v>
      </c>
      <c r="Y63">
        <v>1088</v>
      </c>
      <c r="Z63">
        <v>1088</v>
      </c>
      <c r="AA63">
        <v>0</v>
      </c>
      <c r="AB63">
        <v>3123</v>
      </c>
      <c r="AC63">
        <v>1174.4000000000001</v>
      </c>
      <c r="AD63">
        <v>0</v>
      </c>
      <c r="AE63">
        <v>3192</v>
      </c>
      <c r="AF63">
        <v>3192</v>
      </c>
      <c r="AG63">
        <v>0.66445714285714286</v>
      </c>
      <c r="AH63">
        <v>9968616</v>
      </c>
      <c r="AI63">
        <v>3748684.8000000003</v>
      </c>
      <c r="AJ63">
        <v>6219931.1999999993</v>
      </c>
      <c r="AK63">
        <v>1277747.2000000002</v>
      </c>
      <c r="AL63" s="4">
        <v>2.9338235294117645</v>
      </c>
      <c r="AM63">
        <f t="shared" si="0"/>
        <v>4.0902255639097751</v>
      </c>
      <c r="AN63" s="5">
        <v>266</v>
      </c>
      <c r="AO63" s="4">
        <v>1.2344447999999999</v>
      </c>
      <c r="AQ63">
        <v>0.5</v>
      </c>
    </row>
    <row r="64" spans="1:43" x14ac:dyDescent="0.25">
      <c r="A64">
        <v>63</v>
      </c>
      <c r="B64" t="s">
        <v>84</v>
      </c>
      <c r="C64" t="s">
        <v>44</v>
      </c>
      <c r="D64" t="s">
        <v>84</v>
      </c>
      <c r="E64" t="s">
        <v>149</v>
      </c>
      <c r="F64" t="s">
        <v>45</v>
      </c>
      <c r="G64" t="s">
        <v>45</v>
      </c>
      <c r="H64">
        <v>1</v>
      </c>
      <c r="I64">
        <v>1</v>
      </c>
      <c r="J64">
        <v>7.1442000000000005E-2</v>
      </c>
      <c r="K64" s="6">
        <v>272</v>
      </c>
      <c r="L64" s="6">
        <v>284</v>
      </c>
      <c r="M64" s="6">
        <v>209</v>
      </c>
      <c r="N64" s="6">
        <v>239</v>
      </c>
      <c r="O64" s="6">
        <v>127</v>
      </c>
      <c r="P64" s="6">
        <v>81</v>
      </c>
      <c r="Q64" s="6">
        <v>134</v>
      </c>
      <c r="R64" s="6">
        <v>204</v>
      </c>
      <c r="S64" s="6">
        <v>32</v>
      </c>
      <c r="T64" s="6">
        <v>124</v>
      </c>
      <c r="U64" s="6">
        <v>162</v>
      </c>
      <c r="V64" s="6">
        <v>112</v>
      </c>
      <c r="W64">
        <v>0</v>
      </c>
      <c r="X64">
        <v>90</v>
      </c>
      <c r="Y64">
        <v>147</v>
      </c>
      <c r="Z64">
        <v>147</v>
      </c>
      <c r="AA64">
        <v>0</v>
      </c>
      <c r="AB64">
        <v>4678</v>
      </c>
      <c r="AC64">
        <v>1381.09</v>
      </c>
      <c r="AD64">
        <v>0</v>
      </c>
      <c r="AE64">
        <v>1980</v>
      </c>
      <c r="AF64">
        <v>1980</v>
      </c>
      <c r="AG64">
        <v>0.70476913210773828</v>
      </c>
      <c r="AH64">
        <v>9262440</v>
      </c>
      <c r="AI64">
        <v>2734558.1999999997</v>
      </c>
      <c r="AJ64">
        <v>6527881.8000000007</v>
      </c>
      <c r="AK64">
        <v>203020.22999999998</v>
      </c>
      <c r="AL64" s="4">
        <v>13.469387755102041</v>
      </c>
      <c r="AM64">
        <f t="shared" si="0"/>
        <v>0.89090909090909087</v>
      </c>
      <c r="AN64" s="5">
        <v>165</v>
      </c>
      <c r="AO64" s="4">
        <v>0.20196000000000006</v>
      </c>
      <c r="AQ64">
        <v>0.5</v>
      </c>
    </row>
    <row r="65" spans="1:43" x14ac:dyDescent="0.25">
      <c r="A65">
        <v>64</v>
      </c>
      <c r="B65" t="s">
        <v>84</v>
      </c>
      <c r="C65" t="s">
        <v>44</v>
      </c>
      <c r="D65" t="s">
        <v>84</v>
      </c>
      <c r="E65" t="s">
        <v>150</v>
      </c>
      <c r="F65" t="s">
        <v>45</v>
      </c>
      <c r="G65" t="s">
        <v>45</v>
      </c>
      <c r="H65">
        <v>1</v>
      </c>
      <c r="I65">
        <v>1</v>
      </c>
      <c r="J65">
        <v>1.1832</v>
      </c>
      <c r="K65" s="6">
        <v>222</v>
      </c>
      <c r="L65" s="6">
        <v>28</v>
      </c>
      <c r="M65" s="6">
        <v>40</v>
      </c>
      <c r="N65" s="6">
        <v>12</v>
      </c>
      <c r="O65" s="6">
        <v>227</v>
      </c>
      <c r="P65" s="6">
        <v>217</v>
      </c>
      <c r="Q65" s="6">
        <v>234</v>
      </c>
      <c r="R65" s="6">
        <v>59</v>
      </c>
      <c r="S65" s="6">
        <v>25</v>
      </c>
      <c r="T65" s="6">
        <v>0</v>
      </c>
      <c r="U65" s="6">
        <v>0</v>
      </c>
      <c r="V65" s="6">
        <v>0</v>
      </c>
      <c r="W65">
        <v>6</v>
      </c>
      <c r="X65">
        <v>90</v>
      </c>
      <c r="Y65">
        <v>2040</v>
      </c>
      <c r="Z65">
        <v>2040</v>
      </c>
      <c r="AA65">
        <v>0</v>
      </c>
      <c r="AB65">
        <v>8200</v>
      </c>
      <c r="AC65">
        <v>873.85</v>
      </c>
      <c r="AD65">
        <v>0</v>
      </c>
      <c r="AE65">
        <v>1064</v>
      </c>
      <c r="AF65">
        <v>1064</v>
      </c>
      <c r="AG65">
        <v>0.89343292682926823</v>
      </c>
      <c r="AH65">
        <v>8724800</v>
      </c>
      <c r="AI65">
        <v>929776.4</v>
      </c>
      <c r="AJ65">
        <v>7795023.5999999996</v>
      </c>
      <c r="AK65">
        <v>1782654</v>
      </c>
      <c r="AL65" s="4">
        <v>0.52156862745098043</v>
      </c>
      <c r="AM65">
        <f t="shared" si="0"/>
        <v>23.007518796992478</v>
      </c>
      <c r="AN65" s="5">
        <v>88.666666666666671</v>
      </c>
      <c r="AO65" s="4">
        <v>4.4468600000000009</v>
      </c>
      <c r="AQ65">
        <v>0.5</v>
      </c>
    </row>
    <row r="66" spans="1:43" x14ac:dyDescent="0.25">
      <c r="A66">
        <v>65</v>
      </c>
      <c r="B66" t="s">
        <v>86</v>
      </c>
      <c r="C66" t="s">
        <v>44</v>
      </c>
      <c r="D66" t="s">
        <v>86</v>
      </c>
      <c r="E66" t="s">
        <v>151</v>
      </c>
      <c r="F66" t="s">
        <v>45</v>
      </c>
      <c r="G66" t="s">
        <v>45</v>
      </c>
      <c r="H66">
        <v>1</v>
      </c>
      <c r="I66">
        <v>1</v>
      </c>
      <c r="J66">
        <v>0.48321000000000008</v>
      </c>
      <c r="K66" s="6">
        <v>104</v>
      </c>
      <c r="L66" s="6">
        <v>69</v>
      </c>
      <c r="M66" s="6">
        <v>36</v>
      </c>
      <c r="N66" s="6">
        <v>6</v>
      </c>
      <c r="O66" s="6">
        <v>166</v>
      </c>
      <c r="P66" s="6">
        <v>256</v>
      </c>
      <c r="Q66" s="6">
        <v>236</v>
      </c>
      <c r="R66" s="6">
        <v>50</v>
      </c>
      <c r="S66" s="6">
        <v>84</v>
      </c>
      <c r="T66" s="6">
        <v>126</v>
      </c>
      <c r="U66" s="6">
        <v>110</v>
      </c>
      <c r="V66" s="6">
        <v>35</v>
      </c>
      <c r="W66">
        <v>1</v>
      </c>
      <c r="X66">
        <v>90</v>
      </c>
      <c r="Y66">
        <v>39</v>
      </c>
      <c r="Z66">
        <v>39</v>
      </c>
      <c r="AA66">
        <v>0</v>
      </c>
      <c r="AB66">
        <v>6800</v>
      </c>
      <c r="AC66">
        <v>4320</v>
      </c>
      <c r="AD66">
        <v>0</v>
      </c>
      <c r="AE66">
        <v>1278</v>
      </c>
      <c r="AF66">
        <v>1278</v>
      </c>
      <c r="AG66">
        <v>0.36470588235294121</v>
      </c>
      <c r="AH66">
        <v>8690400</v>
      </c>
      <c r="AI66">
        <v>5520960</v>
      </c>
      <c r="AJ66">
        <v>3169440</v>
      </c>
      <c r="AK66">
        <v>168480</v>
      </c>
      <c r="AL66" s="4">
        <v>32.769230769230766</v>
      </c>
      <c r="AM66">
        <f t="shared" si="0"/>
        <v>0.36619718309859156</v>
      </c>
      <c r="AN66" s="5">
        <v>106.5</v>
      </c>
      <c r="AO66" s="4">
        <v>0.68145</v>
      </c>
      <c r="AQ66">
        <v>0.5</v>
      </c>
    </row>
    <row r="67" spans="1:43" x14ac:dyDescent="0.25">
      <c r="A67">
        <v>66</v>
      </c>
      <c r="B67" t="s">
        <v>84</v>
      </c>
      <c r="C67" t="s">
        <v>44</v>
      </c>
      <c r="D67" t="s">
        <v>84</v>
      </c>
      <c r="E67" t="s">
        <v>152</v>
      </c>
      <c r="F67" t="s">
        <v>45</v>
      </c>
      <c r="G67" t="s">
        <v>45</v>
      </c>
      <c r="H67">
        <v>1</v>
      </c>
      <c r="I67">
        <v>1</v>
      </c>
      <c r="J67">
        <v>4.0320000000000002E-2</v>
      </c>
      <c r="K67" s="6">
        <v>280</v>
      </c>
      <c r="L67" s="6">
        <v>39</v>
      </c>
      <c r="M67" s="6">
        <v>242</v>
      </c>
      <c r="N67" s="6">
        <v>408</v>
      </c>
      <c r="O67" s="6">
        <v>332</v>
      </c>
      <c r="P67" s="6">
        <v>3</v>
      </c>
      <c r="Q67" s="6">
        <v>185</v>
      </c>
      <c r="R67" s="6">
        <v>74</v>
      </c>
      <c r="S67" s="6">
        <v>95</v>
      </c>
      <c r="T67" s="6">
        <v>97</v>
      </c>
      <c r="U67" s="6">
        <v>130</v>
      </c>
      <c r="V67" s="6">
        <v>144</v>
      </c>
      <c r="W67">
        <v>0</v>
      </c>
      <c r="X67">
        <v>90</v>
      </c>
      <c r="Y67">
        <v>84</v>
      </c>
      <c r="Z67">
        <v>84</v>
      </c>
      <c r="AA67">
        <v>0</v>
      </c>
      <c r="AB67">
        <v>4250</v>
      </c>
      <c r="AC67">
        <v>1017.73</v>
      </c>
      <c r="AD67">
        <v>0</v>
      </c>
      <c r="AE67">
        <v>2029</v>
      </c>
      <c r="AF67">
        <v>2029</v>
      </c>
      <c r="AG67">
        <v>0.7605341176470588</v>
      </c>
      <c r="AH67">
        <v>8623250</v>
      </c>
      <c r="AI67">
        <v>2064974.17</v>
      </c>
      <c r="AJ67">
        <v>6558275.8300000001</v>
      </c>
      <c r="AK67">
        <v>85489.32</v>
      </c>
      <c r="AL67" s="4">
        <v>24.154761904761902</v>
      </c>
      <c r="AM67">
        <f t="shared" ref="AM67:AM130" si="1">12/AL67</f>
        <v>0.49679645145391826</v>
      </c>
      <c r="AN67" s="5">
        <v>169.08333333333334</v>
      </c>
      <c r="AO67" s="4">
        <v>0.13464000000000001</v>
      </c>
      <c r="AQ67">
        <v>0.5</v>
      </c>
    </row>
    <row r="68" spans="1:43" x14ac:dyDescent="0.25">
      <c r="A68">
        <v>67</v>
      </c>
      <c r="B68" t="s">
        <v>86</v>
      </c>
      <c r="C68" t="s">
        <v>44</v>
      </c>
      <c r="D68" t="s">
        <v>86</v>
      </c>
      <c r="E68" t="s">
        <v>153</v>
      </c>
      <c r="F68" t="s">
        <v>45</v>
      </c>
      <c r="G68" t="s">
        <v>45</v>
      </c>
      <c r="H68">
        <v>1</v>
      </c>
      <c r="I68">
        <v>1</v>
      </c>
      <c r="J68">
        <v>4.2497700000000007</v>
      </c>
      <c r="K68" s="6">
        <v>14</v>
      </c>
      <c r="L68" s="6">
        <v>120</v>
      </c>
      <c r="M68" s="6">
        <v>135</v>
      </c>
      <c r="N68" s="6">
        <v>6</v>
      </c>
      <c r="O68" s="6">
        <v>152</v>
      </c>
      <c r="P68" s="6">
        <v>93</v>
      </c>
      <c r="Q68" s="6">
        <v>142</v>
      </c>
      <c r="R68" s="6">
        <v>121</v>
      </c>
      <c r="S68" s="6">
        <v>0</v>
      </c>
      <c r="T68" s="6">
        <v>214</v>
      </c>
      <c r="U68" s="6">
        <v>213</v>
      </c>
      <c r="V68" s="6">
        <v>5</v>
      </c>
      <c r="W68">
        <v>0</v>
      </c>
      <c r="X68">
        <v>90</v>
      </c>
      <c r="Y68">
        <v>343</v>
      </c>
      <c r="Z68">
        <v>343</v>
      </c>
      <c r="AA68">
        <v>0</v>
      </c>
      <c r="AB68">
        <v>6800</v>
      </c>
      <c r="AC68">
        <v>3931.53</v>
      </c>
      <c r="AD68">
        <v>0</v>
      </c>
      <c r="AE68">
        <v>1215</v>
      </c>
      <c r="AF68">
        <v>1215</v>
      </c>
      <c r="AG68">
        <v>0.42183382352941168</v>
      </c>
      <c r="AH68">
        <v>8262000</v>
      </c>
      <c r="AI68">
        <v>4776808.95</v>
      </c>
      <c r="AJ68">
        <v>3485191.05</v>
      </c>
      <c r="AK68">
        <v>1348514.79</v>
      </c>
      <c r="AL68" s="4">
        <v>3.5422740524781342</v>
      </c>
      <c r="AM68">
        <f t="shared" si="1"/>
        <v>3.3876543209876542</v>
      </c>
      <c r="AN68" s="5">
        <v>101.25</v>
      </c>
      <c r="AO68" s="4">
        <v>5.6463000000000001</v>
      </c>
      <c r="AQ68">
        <v>0.5</v>
      </c>
    </row>
    <row r="69" spans="1:43" x14ac:dyDescent="0.25">
      <c r="A69">
        <v>68</v>
      </c>
      <c r="B69" t="s">
        <v>82</v>
      </c>
      <c r="C69" t="s">
        <v>44</v>
      </c>
      <c r="D69" t="s">
        <v>82</v>
      </c>
      <c r="E69" t="s">
        <v>154</v>
      </c>
      <c r="F69" t="s">
        <v>45</v>
      </c>
      <c r="G69" t="s">
        <v>45</v>
      </c>
      <c r="H69">
        <v>1</v>
      </c>
      <c r="I69">
        <v>1</v>
      </c>
      <c r="J69">
        <v>0.27582500000000004</v>
      </c>
      <c r="K69" s="6">
        <v>338</v>
      </c>
      <c r="L69" s="6">
        <v>362</v>
      </c>
      <c r="M69" s="6">
        <v>339</v>
      </c>
      <c r="N69" s="6">
        <v>316</v>
      </c>
      <c r="O69" s="6">
        <v>414</v>
      </c>
      <c r="P69" s="6">
        <v>196</v>
      </c>
      <c r="Q69" s="6">
        <v>307</v>
      </c>
      <c r="R69" s="6">
        <v>312</v>
      </c>
      <c r="S69" s="6">
        <v>300</v>
      </c>
      <c r="T69" s="6">
        <v>317</v>
      </c>
      <c r="U69" s="6">
        <v>254</v>
      </c>
      <c r="V69" s="6">
        <v>282</v>
      </c>
      <c r="W69">
        <v>5</v>
      </c>
      <c r="X69">
        <v>90</v>
      </c>
      <c r="Y69">
        <v>935</v>
      </c>
      <c r="Z69">
        <v>935</v>
      </c>
      <c r="AA69">
        <v>0</v>
      </c>
      <c r="AB69">
        <v>2200</v>
      </c>
      <c r="AC69">
        <v>656.59</v>
      </c>
      <c r="AD69">
        <v>0</v>
      </c>
      <c r="AE69">
        <v>3737</v>
      </c>
      <c r="AF69">
        <v>3737</v>
      </c>
      <c r="AG69">
        <v>0.7015499999999999</v>
      </c>
      <c r="AH69">
        <v>8221400</v>
      </c>
      <c r="AI69">
        <v>2453676.83</v>
      </c>
      <c r="AJ69">
        <v>5767723.1699999999</v>
      </c>
      <c r="AK69">
        <v>613911.65</v>
      </c>
      <c r="AL69" s="4">
        <v>3.9967914438502672</v>
      </c>
      <c r="AM69">
        <f t="shared" si="1"/>
        <v>3.0024083489430025</v>
      </c>
      <c r="AN69" s="5">
        <v>311.41666666666669</v>
      </c>
      <c r="AO69" s="4">
        <v>2.7682800000000007</v>
      </c>
      <c r="AQ69">
        <v>0.5</v>
      </c>
    </row>
    <row r="70" spans="1:43" x14ac:dyDescent="0.25">
      <c r="A70">
        <v>69</v>
      </c>
      <c r="B70" t="s">
        <v>83</v>
      </c>
      <c r="C70" t="s">
        <v>44</v>
      </c>
      <c r="D70" t="s">
        <v>83</v>
      </c>
      <c r="E70" t="s">
        <v>155</v>
      </c>
      <c r="F70" t="s">
        <v>45</v>
      </c>
      <c r="G70" t="s">
        <v>45</v>
      </c>
      <c r="H70">
        <v>1</v>
      </c>
      <c r="I70">
        <v>1</v>
      </c>
      <c r="J70">
        <v>0.27500000000000002</v>
      </c>
      <c r="K70" s="6">
        <v>88</v>
      </c>
      <c r="L70" s="6">
        <v>117</v>
      </c>
      <c r="M70" s="6">
        <v>96</v>
      </c>
      <c r="N70" s="6">
        <v>126</v>
      </c>
      <c r="O70" s="6">
        <v>115</v>
      </c>
      <c r="P70" s="6">
        <v>99</v>
      </c>
      <c r="Q70" s="6">
        <v>122</v>
      </c>
      <c r="R70" s="6">
        <v>109</v>
      </c>
      <c r="S70" s="6">
        <v>146</v>
      </c>
      <c r="T70" s="6">
        <v>137</v>
      </c>
      <c r="U70" s="6">
        <v>118</v>
      </c>
      <c r="V70" s="6">
        <v>78</v>
      </c>
      <c r="W70">
        <v>1</v>
      </c>
      <c r="X70">
        <v>90</v>
      </c>
      <c r="Y70">
        <v>5</v>
      </c>
      <c r="Z70">
        <v>5</v>
      </c>
      <c r="AA70">
        <v>0</v>
      </c>
      <c r="AB70">
        <v>6056</v>
      </c>
      <c r="AC70">
        <v>3995</v>
      </c>
      <c r="AD70">
        <v>0</v>
      </c>
      <c r="AE70">
        <v>1351</v>
      </c>
      <c r="AF70">
        <v>1351</v>
      </c>
      <c r="AG70">
        <v>0.34029999999999999</v>
      </c>
      <c r="AH70">
        <v>8181656</v>
      </c>
      <c r="AI70">
        <v>5397245</v>
      </c>
      <c r="AJ70">
        <v>2784411</v>
      </c>
      <c r="AK70">
        <v>19975</v>
      </c>
      <c r="AL70" s="4">
        <v>270.2</v>
      </c>
      <c r="AM70">
        <f t="shared" si="1"/>
        <v>4.441154700222058E-2</v>
      </c>
      <c r="AN70" s="5">
        <v>112.58333333333333</v>
      </c>
      <c r="AO70" s="4">
        <v>0.27500000000000002</v>
      </c>
      <c r="AQ70">
        <v>0.5</v>
      </c>
    </row>
    <row r="71" spans="1:43" x14ac:dyDescent="0.25">
      <c r="A71">
        <v>70</v>
      </c>
      <c r="B71" t="s">
        <v>83</v>
      </c>
      <c r="C71" t="s">
        <v>44</v>
      </c>
      <c r="D71" t="s">
        <v>83</v>
      </c>
      <c r="E71" t="s">
        <v>156</v>
      </c>
      <c r="F71" t="s">
        <v>45</v>
      </c>
      <c r="G71" t="s">
        <v>45</v>
      </c>
      <c r="H71">
        <v>1</v>
      </c>
      <c r="I71">
        <v>1</v>
      </c>
      <c r="J71">
        <v>3.8801565000000005</v>
      </c>
      <c r="K71" s="6">
        <v>8099</v>
      </c>
      <c r="L71" s="6">
        <v>7509</v>
      </c>
      <c r="M71" s="6">
        <v>6286</v>
      </c>
      <c r="N71" s="6">
        <v>9149</v>
      </c>
      <c r="O71" s="6">
        <v>10505</v>
      </c>
      <c r="P71" s="6">
        <v>9043</v>
      </c>
      <c r="Q71" s="6">
        <v>7635</v>
      </c>
      <c r="R71" s="6">
        <v>8929</v>
      </c>
      <c r="S71" s="6">
        <v>9831</v>
      </c>
      <c r="T71" s="6">
        <v>9994</v>
      </c>
      <c r="U71" s="6">
        <v>9203</v>
      </c>
      <c r="V71" s="6">
        <v>6896</v>
      </c>
      <c r="W71">
        <v>9</v>
      </c>
      <c r="X71">
        <v>90</v>
      </c>
      <c r="Y71">
        <v>348</v>
      </c>
      <c r="Z71">
        <v>348</v>
      </c>
      <c r="AA71">
        <v>0</v>
      </c>
      <c r="AB71">
        <v>78</v>
      </c>
      <c r="AC71">
        <v>35</v>
      </c>
      <c r="AD71">
        <v>0</v>
      </c>
      <c r="AE71">
        <v>103079</v>
      </c>
      <c r="AF71">
        <v>103079</v>
      </c>
      <c r="AG71">
        <v>0.55130000000000001</v>
      </c>
      <c r="AH71">
        <v>8040162</v>
      </c>
      <c r="AI71">
        <v>3607765</v>
      </c>
      <c r="AJ71">
        <v>4432397</v>
      </c>
      <c r="AK71">
        <v>12180</v>
      </c>
      <c r="AL71" s="4">
        <v>296.20402298850576</v>
      </c>
      <c r="AM71">
        <f t="shared" si="1"/>
        <v>4.051261653683097E-2</v>
      </c>
      <c r="AN71" s="5">
        <v>8589.9166666666661</v>
      </c>
      <c r="AO71" s="4">
        <v>3.8801565000000005</v>
      </c>
      <c r="AQ71">
        <v>0.5</v>
      </c>
    </row>
    <row r="72" spans="1:43" x14ac:dyDescent="0.25">
      <c r="A72">
        <v>71</v>
      </c>
      <c r="B72" t="s">
        <v>82</v>
      </c>
      <c r="C72" t="s">
        <v>44</v>
      </c>
      <c r="D72" t="s">
        <v>82</v>
      </c>
      <c r="E72" t="s">
        <v>157</v>
      </c>
      <c r="F72" t="s">
        <v>45</v>
      </c>
      <c r="G72" t="s">
        <v>45</v>
      </c>
      <c r="H72">
        <v>1</v>
      </c>
      <c r="I72">
        <v>1</v>
      </c>
      <c r="J72">
        <v>0.19381500000000004</v>
      </c>
      <c r="K72" s="6">
        <v>99</v>
      </c>
      <c r="L72" s="6">
        <v>124</v>
      </c>
      <c r="M72" s="6">
        <v>173</v>
      </c>
      <c r="N72" s="6">
        <v>91</v>
      </c>
      <c r="O72" s="6">
        <v>301</v>
      </c>
      <c r="P72" s="6">
        <v>232</v>
      </c>
      <c r="Q72" s="6">
        <v>213</v>
      </c>
      <c r="R72" s="6">
        <v>163</v>
      </c>
      <c r="S72" s="6">
        <v>506</v>
      </c>
      <c r="T72" s="6">
        <v>319</v>
      </c>
      <c r="U72" s="6">
        <v>262</v>
      </c>
      <c r="V72" s="6">
        <v>130</v>
      </c>
      <c r="W72">
        <v>3</v>
      </c>
      <c r="X72">
        <v>90</v>
      </c>
      <c r="Y72">
        <v>657</v>
      </c>
      <c r="Z72">
        <v>657</v>
      </c>
      <c r="AA72">
        <v>0</v>
      </c>
      <c r="AB72">
        <v>3045</v>
      </c>
      <c r="AC72">
        <v>632.42999999999995</v>
      </c>
      <c r="AD72">
        <v>0</v>
      </c>
      <c r="AE72">
        <v>2613</v>
      </c>
      <c r="AF72">
        <v>2613</v>
      </c>
      <c r="AG72">
        <v>0.7923054187192119</v>
      </c>
      <c r="AH72">
        <v>7956585</v>
      </c>
      <c r="AI72">
        <v>1652539.5899999999</v>
      </c>
      <c r="AJ72">
        <v>6304045.4100000001</v>
      </c>
      <c r="AK72">
        <v>415506.50999999995</v>
      </c>
      <c r="AL72" s="4">
        <v>3.9771689497716896</v>
      </c>
      <c r="AM72">
        <f t="shared" si="1"/>
        <v>3.0172215843857635</v>
      </c>
      <c r="AN72" s="5">
        <v>217.75</v>
      </c>
      <c r="AO72" s="4">
        <v>1.9608650000000005</v>
      </c>
      <c r="AQ72">
        <v>0.5</v>
      </c>
    </row>
    <row r="73" spans="1:43" x14ac:dyDescent="0.25">
      <c r="A73">
        <v>72</v>
      </c>
      <c r="B73" t="s">
        <v>84</v>
      </c>
      <c r="C73" t="s">
        <v>44</v>
      </c>
      <c r="D73" t="s">
        <v>84</v>
      </c>
      <c r="E73" t="s">
        <v>158</v>
      </c>
      <c r="F73" t="s">
        <v>45</v>
      </c>
      <c r="G73" t="s">
        <v>45</v>
      </c>
      <c r="H73">
        <v>1</v>
      </c>
      <c r="I73">
        <v>1</v>
      </c>
      <c r="J73">
        <v>0.62743199999999999</v>
      </c>
      <c r="K73" s="6">
        <v>191</v>
      </c>
      <c r="L73" s="6">
        <v>144</v>
      </c>
      <c r="M73" s="6">
        <v>65</v>
      </c>
      <c r="N73" s="6">
        <v>200</v>
      </c>
      <c r="O73" s="6">
        <v>167</v>
      </c>
      <c r="P73" s="6">
        <v>122</v>
      </c>
      <c r="Q73" s="6">
        <v>116</v>
      </c>
      <c r="R73" s="6">
        <v>488</v>
      </c>
      <c r="S73" s="6">
        <v>216</v>
      </c>
      <c r="T73" s="6">
        <v>136</v>
      </c>
      <c r="U73" s="6">
        <v>256</v>
      </c>
      <c r="V73" s="6">
        <v>398</v>
      </c>
      <c r="W73">
        <v>3</v>
      </c>
      <c r="X73">
        <v>90</v>
      </c>
      <c r="Y73">
        <v>2011</v>
      </c>
      <c r="Z73">
        <v>2011</v>
      </c>
      <c r="AA73">
        <v>0</v>
      </c>
      <c r="AB73">
        <v>3080</v>
      </c>
      <c r="AC73">
        <v>1164.01</v>
      </c>
      <c r="AD73">
        <v>0</v>
      </c>
      <c r="AE73">
        <v>2499</v>
      </c>
      <c r="AF73">
        <v>2499</v>
      </c>
      <c r="AG73">
        <v>0.62207467532467531</v>
      </c>
      <c r="AH73">
        <v>7696920</v>
      </c>
      <c r="AI73">
        <v>2908860.9899999998</v>
      </c>
      <c r="AJ73">
        <v>4788059.01</v>
      </c>
      <c r="AK73">
        <v>2340824.11</v>
      </c>
      <c r="AL73" s="4">
        <v>1.242665340626554</v>
      </c>
      <c r="AM73">
        <f t="shared" si="1"/>
        <v>9.6566626650660261</v>
      </c>
      <c r="AN73" s="5">
        <v>208.25</v>
      </c>
      <c r="AO73" s="4">
        <v>2.2888800000000002</v>
      </c>
      <c r="AQ73">
        <v>0.5</v>
      </c>
    </row>
    <row r="74" spans="1:43" x14ac:dyDescent="0.25">
      <c r="A74">
        <v>73</v>
      </c>
      <c r="B74" t="s">
        <v>85</v>
      </c>
      <c r="C74" t="s">
        <v>44</v>
      </c>
      <c r="D74" t="s">
        <v>85</v>
      </c>
      <c r="E74" t="s">
        <v>159</v>
      </c>
      <c r="F74" t="s">
        <v>45</v>
      </c>
      <c r="G74" t="s">
        <v>45</v>
      </c>
      <c r="H74">
        <v>1</v>
      </c>
      <c r="I74">
        <v>1</v>
      </c>
      <c r="J74">
        <v>1.0522500000000001</v>
      </c>
      <c r="K74" s="6">
        <v>0</v>
      </c>
      <c r="L74" s="6">
        <v>224</v>
      </c>
      <c r="M74" s="6">
        <v>0</v>
      </c>
      <c r="N74" s="6">
        <v>224</v>
      </c>
      <c r="O74" s="6">
        <v>394</v>
      </c>
      <c r="P74" s="6">
        <v>2</v>
      </c>
      <c r="Q74" s="6">
        <v>0</v>
      </c>
      <c r="R74" s="6">
        <v>784</v>
      </c>
      <c r="S74" s="6">
        <v>0</v>
      </c>
      <c r="T74" s="6">
        <v>360</v>
      </c>
      <c r="U74" s="6">
        <v>312</v>
      </c>
      <c r="V74" s="6">
        <v>112</v>
      </c>
      <c r="W74">
        <v>1</v>
      </c>
      <c r="X74">
        <v>90</v>
      </c>
      <c r="Y74">
        <v>625</v>
      </c>
      <c r="Z74">
        <v>625</v>
      </c>
      <c r="AA74">
        <v>0</v>
      </c>
      <c r="AB74">
        <v>3123</v>
      </c>
      <c r="AC74">
        <v>1707.95</v>
      </c>
      <c r="AD74">
        <v>0</v>
      </c>
      <c r="AE74">
        <v>2412</v>
      </c>
      <c r="AF74">
        <v>2412</v>
      </c>
      <c r="AG74">
        <v>0.51201428571428576</v>
      </c>
      <c r="AH74">
        <v>7532676</v>
      </c>
      <c r="AI74">
        <v>4119575.4</v>
      </c>
      <c r="AJ74">
        <v>3413100.6</v>
      </c>
      <c r="AK74">
        <v>1067468.75</v>
      </c>
      <c r="AL74" s="4">
        <v>3.8592</v>
      </c>
      <c r="AM74">
        <f t="shared" si="1"/>
        <v>3.1094527363184081</v>
      </c>
      <c r="AN74" s="5">
        <v>201</v>
      </c>
      <c r="AO74" s="4">
        <v>1.0640352000000002</v>
      </c>
      <c r="AQ74">
        <v>0.5</v>
      </c>
    </row>
    <row r="75" spans="1:43" x14ac:dyDescent="0.25">
      <c r="A75">
        <v>74</v>
      </c>
      <c r="B75" t="s">
        <v>82</v>
      </c>
      <c r="C75" t="s">
        <v>44</v>
      </c>
      <c r="D75" t="s">
        <v>82</v>
      </c>
      <c r="E75" t="s">
        <v>160</v>
      </c>
      <c r="F75" t="s">
        <v>45</v>
      </c>
      <c r="G75" t="s">
        <v>45</v>
      </c>
      <c r="H75">
        <v>1</v>
      </c>
      <c r="I75">
        <v>1</v>
      </c>
      <c r="J75">
        <v>0.24166400000000002</v>
      </c>
      <c r="K75" s="6">
        <v>211</v>
      </c>
      <c r="L75" s="6">
        <v>346</v>
      </c>
      <c r="M75" s="6">
        <v>331</v>
      </c>
      <c r="N75" s="6">
        <v>234</v>
      </c>
      <c r="O75" s="6">
        <v>97</v>
      </c>
      <c r="P75" s="6">
        <v>79</v>
      </c>
      <c r="Q75" s="6">
        <v>169</v>
      </c>
      <c r="R75" s="6">
        <v>97</v>
      </c>
      <c r="S75" s="6">
        <v>39</v>
      </c>
      <c r="T75" s="6">
        <v>99</v>
      </c>
      <c r="U75" s="6">
        <v>103</v>
      </c>
      <c r="V75" s="6">
        <v>71</v>
      </c>
      <c r="W75">
        <v>1</v>
      </c>
      <c r="X75">
        <v>90</v>
      </c>
      <c r="Y75">
        <v>256</v>
      </c>
      <c r="Z75">
        <v>256</v>
      </c>
      <c r="AA75">
        <v>0</v>
      </c>
      <c r="AB75">
        <v>3750</v>
      </c>
      <c r="AC75">
        <v>1386.61</v>
      </c>
      <c r="AD75">
        <v>0</v>
      </c>
      <c r="AE75">
        <v>1876</v>
      </c>
      <c r="AF75">
        <v>1876</v>
      </c>
      <c r="AG75">
        <v>0.63023733333333343</v>
      </c>
      <c r="AH75">
        <v>7035000</v>
      </c>
      <c r="AI75">
        <v>2601280.36</v>
      </c>
      <c r="AJ75">
        <v>4433719.6400000006</v>
      </c>
      <c r="AK75">
        <v>354972.15999999997</v>
      </c>
      <c r="AL75" s="4">
        <v>7.328125</v>
      </c>
      <c r="AM75">
        <f t="shared" si="1"/>
        <v>1.6375266524520256</v>
      </c>
      <c r="AN75" s="5">
        <v>156.33333333333334</v>
      </c>
      <c r="AO75" s="4">
        <v>1.4994850000000004</v>
      </c>
      <c r="AQ75">
        <v>0.5</v>
      </c>
    </row>
    <row r="76" spans="1:43" x14ac:dyDescent="0.25">
      <c r="A76">
        <v>75</v>
      </c>
      <c r="B76" t="s">
        <v>83</v>
      </c>
      <c r="C76" t="s">
        <v>44</v>
      </c>
      <c r="D76" t="s">
        <v>83</v>
      </c>
      <c r="E76" t="s">
        <v>161</v>
      </c>
      <c r="F76" t="s">
        <v>45</v>
      </c>
      <c r="G76" t="s">
        <v>45</v>
      </c>
      <c r="H76">
        <v>1</v>
      </c>
      <c r="I76">
        <v>1</v>
      </c>
      <c r="J76">
        <v>0.125</v>
      </c>
      <c r="K76" s="6">
        <v>1263</v>
      </c>
      <c r="L76" s="6">
        <v>2588</v>
      </c>
      <c r="M76" s="6">
        <v>-368</v>
      </c>
      <c r="N76" s="6">
        <v>130</v>
      </c>
      <c r="O76" s="6">
        <v>521</v>
      </c>
      <c r="P76" s="6">
        <v>368</v>
      </c>
      <c r="Q76" s="6">
        <v>2220</v>
      </c>
      <c r="R76" s="6">
        <v>166</v>
      </c>
      <c r="S76" s="6">
        <v>1413</v>
      </c>
      <c r="T76" s="6">
        <v>1654</v>
      </c>
      <c r="U76" s="6">
        <v>498</v>
      </c>
      <c r="V76" s="6">
        <v>225</v>
      </c>
      <c r="W76">
        <v>8</v>
      </c>
      <c r="X76">
        <v>90</v>
      </c>
      <c r="Y76">
        <v>1</v>
      </c>
      <c r="Z76">
        <v>1</v>
      </c>
      <c r="AA76">
        <v>0</v>
      </c>
      <c r="AB76">
        <v>653</v>
      </c>
      <c r="AC76">
        <v>350</v>
      </c>
      <c r="AD76">
        <v>0</v>
      </c>
      <c r="AE76">
        <v>10678</v>
      </c>
      <c r="AF76">
        <v>10678</v>
      </c>
      <c r="AG76">
        <v>0.45370597243491601</v>
      </c>
      <c r="AH76">
        <v>6972734</v>
      </c>
      <c r="AI76">
        <v>3737300</v>
      </c>
      <c r="AJ76">
        <v>3235434</v>
      </c>
      <c r="AK76">
        <v>350</v>
      </c>
      <c r="AL76" s="4">
        <v>10678</v>
      </c>
      <c r="AM76">
        <f t="shared" si="1"/>
        <v>1.1238059561715678E-3</v>
      </c>
      <c r="AN76" s="5">
        <v>889.83333333333337</v>
      </c>
      <c r="AO76" s="4">
        <v>0.125</v>
      </c>
      <c r="AQ76">
        <v>0.5</v>
      </c>
    </row>
    <row r="77" spans="1:43" x14ac:dyDescent="0.25">
      <c r="A77">
        <v>76</v>
      </c>
      <c r="B77" t="s">
        <v>86</v>
      </c>
      <c r="C77" t="s">
        <v>44</v>
      </c>
      <c r="D77" t="s">
        <v>86</v>
      </c>
      <c r="E77" t="s">
        <v>162</v>
      </c>
      <c r="F77" t="s">
        <v>45</v>
      </c>
      <c r="G77" t="s">
        <v>45</v>
      </c>
      <c r="H77">
        <v>1</v>
      </c>
      <c r="I77">
        <v>1</v>
      </c>
      <c r="J77">
        <v>1.9824000000000002</v>
      </c>
      <c r="K77" s="6">
        <v>53</v>
      </c>
      <c r="L77" s="6">
        <v>242</v>
      </c>
      <c r="M77" s="6">
        <v>324</v>
      </c>
      <c r="N77" s="6">
        <v>153</v>
      </c>
      <c r="O77" s="6">
        <v>49</v>
      </c>
      <c r="P77" s="6">
        <v>108</v>
      </c>
      <c r="Q77" s="6">
        <v>10</v>
      </c>
      <c r="R77" s="6">
        <v>40</v>
      </c>
      <c r="S77" s="6">
        <v>23</v>
      </c>
      <c r="T77" s="6">
        <v>16</v>
      </c>
      <c r="U77" s="6">
        <v>4</v>
      </c>
      <c r="V77" s="6">
        <v>0</v>
      </c>
      <c r="W77">
        <v>0</v>
      </c>
      <c r="X77">
        <v>90</v>
      </c>
      <c r="Y77">
        <v>160</v>
      </c>
      <c r="Z77">
        <v>160</v>
      </c>
      <c r="AA77">
        <v>0</v>
      </c>
      <c r="AB77">
        <v>6800</v>
      </c>
      <c r="AC77">
        <v>3339.18</v>
      </c>
      <c r="AD77">
        <v>0</v>
      </c>
      <c r="AE77">
        <v>1022</v>
      </c>
      <c r="AF77">
        <v>1022</v>
      </c>
      <c r="AG77">
        <v>0.50894411764705882</v>
      </c>
      <c r="AH77">
        <v>6949600</v>
      </c>
      <c r="AI77">
        <v>3412641.96</v>
      </c>
      <c r="AJ77">
        <v>3536958.04</v>
      </c>
      <c r="AK77">
        <v>534268.79999999993</v>
      </c>
      <c r="AL77" s="4">
        <v>6.3875000000000011</v>
      </c>
      <c r="AM77">
        <f t="shared" si="1"/>
        <v>1.8786692759295496</v>
      </c>
      <c r="AN77" s="5">
        <v>85.166666666666671</v>
      </c>
      <c r="AO77" s="4">
        <v>2.62845</v>
      </c>
      <c r="AQ77">
        <v>0.5</v>
      </c>
    </row>
    <row r="78" spans="1:43" x14ac:dyDescent="0.25">
      <c r="A78">
        <v>77</v>
      </c>
      <c r="B78" t="s">
        <v>82</v>
      </c>
      <c r="C78" t="s">
        <v>44</v>
      </c>
      <c r="D78" t="s">
        <v>82</v>
      </c>
      <c r="E78" t="s">
        <v>163</v>
      </c>
      <c r="F78" t="s">
        <v>45</v>
      </c>
      <c r="G78" t="s">
        <v>45</v>
      </c>
      <c r="H78">
        <v>1</v>
      </c>
      <c r="I78">
        <v>1</v>
      </c>
      <c r="J78">
        <v>7.1744000000000002E-2</v>
      </c>
      <c r="K78" s="6">
        <v>370</v>
      </c>
      <c r="L78" s="6">
        <v>79</v>
      </c>
      <c r="M78" s="6">
        <v>131</v>
      </c>
      <c r="N78" s="6">
        <v>258</v>
      </c>
      <c r="O78" s="6">
        <v>47</v>
      </c>
      <c r="P78" s="6">
        <v>71</v>
      </c>
      <c r="Q78" s="6">
        <v>99</v>
      </c>
      <c r="R78" s="6">
        <v>94</v>
      </c>
      <c r="S78" s="6">
        <v>84</v>
      </c>
      <c r="T78" s="6">
        <v>217</v>
      </c>
      <c r="U78" s="6">
        <v>235</v>
      </c>
      <c r="V78" s="6">
        <v>130</v>
      </c>
      <c r="W78">
        <v>1</v>
      </c>
      <c r="X78">
        <v>90</v>
      </c>
      <c r="Y78">
        <v>76</v>
      </c>
      <c r="Z78">
        <v>76</v>
      </c>
      <c r="AA78">
        <v>0</v>
      </c>
      <c r="AB78">
        <v>3750</v>
      </c>
      <c r="AC78">
        <v>1177.8699999999999</v>
      </c>
      <c r="AD78">
        <v>0</v>
      </c>
      <c r="AE78">
        <v>1815</v>
      </c>
      <c r="AF78">
        <v>1815</v>
      </c>
      <c r="AG78">
        <v>0.68590133333333336</v>
      </c>
      <c r="AH78">
        <v>6806250</v>
      </c>
      <c r="AI78">
        <v>2137834.0499999998</v>
      </c>
      <c r="AJ78">
        <v>4668415.95</v>
      </c>
      <c r="AK78">
        <v>89518.12</v>
      </c>
      <c r="AL78" s="4">
        <v>23.881578947368421</v>
      </c>
      <c r="AM78">
        <f t="shared" si="1"/>
        <v>0.50247933884297524</v>
      </c>
      <c r="AN78" s="5">
        <v>151.25</v>
      </c>
      <c r="AO78" s="4">
        <v>0.46138000000000012</v>
      </c>
      <c r="AQ78">
        <v>0.5</v>
      </c>
    </row>
    <row r="79" spans="1:43" x14ac:dyDescent="0.25">
      <c r="A79">
        <v>78</v>
      </c>
      <c r="B79" t="s">
        <v>83</v>
      </c>
      <c r="C79" t="s">
        <v>44</v>
      </c>
      <c r="D79" t="s">
        <v>83</v>
      </c>
      <c r="E79" t="s">
        <v>164</v>
      </c>
      <c r="F79" t="s">
        <v>45</v>
      </c>
      <c r="G79" t="s">
        <v>45</v>
      </c>
      <c r="H79">
        <v>1</v>
      </c>
      <c r="I79">
        <v>1</v>
      </c>
      <c r="J79">
        <v>34.44</v>
      </c>
      <c r="K79" s="6">
        <v>1.25</v>
      </c>
      <c r="L79" s="6">
        <v>4.000410509031199</v>
      </c>
      <c r="M79" s="6">
        <v>3.5004105090311985</v>
      </c>
      <c r="N79" s="6">
        <v>8.1256157635467989</v>
      </c>
      <c r="O79" s="6">
        <v>7.75</v>
      </c>
      <c r="P79" s="6">
        <v>2.875615763546798</v>
      </c>
      <c r="Q79" s="6">
        <v>8.7508210180623962</v>
      </c>
      <c r="R79" s="6">
        <v>3.2491789819376029</v>
      </c>
      <c r="S79" s="6">
        <v>9.6847290640394093</v>
      </c>
      <c r="T79" s="6">
        <v>9.623973727422003</v>
      </c>
      <c r="U79" s="6">
        <v>3.0398193760262724</v>
      </c>
      <c r="V79" s="6">
        <v>1.5829228243021347</v>
      </c>
      <c r="W79">
        <v>5</v>
      </c>
      <c r="X79">
        <v>90</v>
      </c>
      <c r="Y79">
        <v>176.72413793103448</v>
      </c>
      <c r="Z79">
        <v>176.72413793103448</v>
      </c>
      <c r="AA79">
        <v>0</v>
      </c>
      <c r="AB79">
        <v>85260</v>
      </c>
      <c r="AC79">
        <v>179.54</v>
      </c>
      <c r="AD79">
        <v>0</v>
      </c>
      <c r="AE79">
        <v>63.433497536945815</v>
      </c>
      <c r="AF79">
        <v>63.433497536945815</v>
      </c>
      <c r="AG79">
        <v>0.99789420595824541</v>
      </c>
      <c r="AH79">
        <v>5408340</v>
      </c>
      <c r="AI79">
        <v>11388.850147783251</v>
      </c>
      <c r="AJ79">
        <v>5396951.1498522172</v>
      </c>
      <c r="AK79">
        <v>31729.051724137928</v>
      </c>
      <c r="AL79" s="4">
        <v>0.35894076655052265</v>
      </c>
      <c r="AM79">
        <f t="shared" si="1"/>
        <v>33.431699930107946</v>
      </c>
      <c r="AN79" s="5">
        <v>5.2861247947454846</v>
      </c>
      <c r="AO79" s="4">
        <v>34.493760000000002</v>
      </c>
      <c r="AQ79">
        <v>0.5</v>
      </c>
    </row>
    <row r="80" spans="1:43" x14ac:dyDescent="0.25">
      <c r="A80">
        <v>79</v>
      </c>
      <c r="B80" t="s">
        <v>83</v>
      </c>
      <c r="C80" t="s">
        <v>44</v>
      </c>
      <c r="D80" t="s">
        <v>83</v>
      </c>
      <c r="E80" t="s">
        <v>165</v>
      </c>
      <c r="F80" t="s">
        <v>45</v>
      </c>
      <c r="G80" t="s">
        <v>45</v>
      </c>
      <c r="H80">
        <v>1</v>
      </c>
      <c r="I80">
        <v>1</v>
      </c>
      <c r="J80">
        <v>0.7798400000000002</v>
      </c>
      <c r="K80" s="6">
        <v>789.7</v>
      </c>
      <c r="L80" s="6">
        <v>836.18</v>
      </c>
      <c r="M80" s="6">
        <v>761.35</v>
      </c>
      <c r="N80" s="6">
        <v>767</v>
      </c>
      <c r="O80" s="6">
        <v>950.05</v>
      </c>
      <c r="P80" s="6">
        <v>715.33</v>
      </c>
      <c r="Q80" s="6">
        <v>670.85</v>
      </c>
      <c r="R80" s="6">
        <v>852</v>
      </c>
      <c r="S80" s="6">
        <v>1031.8</v>
      </c>
      <c r="T80" s="6">
        <v>805.31</v>
      </c>
      <c r="U80" s="6">
        <v>835.82</v>
      </c>
      <c r="V80" s="6">
        <v>550.16999999999996</v>
      </c>
      <c r="W80">
        <v>3</v>
      </c>
      <c r="X80">
        <v>90</v>
      </c>
      <c r="Y80">
        <v>97.48</v>
      </c>
      <c r="Z80">
        <v>97.48</v>
      </c>
      <c r="AA80">
        <v>0</v>
      </c>
      <c r="AB80">
        <v>560</v>
      </c>
      <c r="AC80">
        <v>58.65</v>
      </c>
      <c r="AD80">
        <v>0</v>
      </c>
      <c r="AE80">
        <v>9565.56</v>
      </c>
      <c r="AF80">
        <v>9565.56</v>
      </c>
      <c r="AG80">
        <v>0.89526785714285717</v>
      </c>
      <c r="AH80">
        <v>5356713.5999999996</v>
      </c>
      <c r="AI80">
        <v>561020.09399999992</v>
      </c>
      <c r="AJ80">
        <v>4795693.5060000001</v>
      </c>
      <c r="AK80">
        <v>5717.2020000000002</v>
      </c>
      <c r="AL80" s="4">
        <v>98.128436602379963</v>
      </c>
      <c r="AM80">
        <f t="shared" si="1"/>
        <v>0.12228871074981498</v>
      </c>
      <c r="AN80" s="5">
        <v>797.13</v>
      </c>
      <c r="AO80" s="4">
        <v>0.78400000000000014</v>
      </c>
      <c r="AQ80">
        <v>0.5</v>
      </c>
    </row>
    <row r="81" spans="1:43" x14ac:dyDescent="0.25">
      <c r="A81">
        <v>80</v>
      </c>
      <c r="B81" t="s">
        <v>86</v>
      </c>
      <c r="C81" t="s">
        <v>44</v>
      </c>
      <c r="D81" t="s">
        <v>86</v>
      </c>
      <c r="E81" t="s">
        <v>166</v>
      </c>
      <c r="F81" t="s">
        <v>45</v>
      </c>
      <c r="G81" t="s">
        <v>45</v>
      </c>
      <c r="H81">
        <v>1</v>
      </c>
      <c r="I81">
        <v>1</v>
      </c>
      <c r="J81">
        <v>0</v>
      </c>
      <c r="K81" s="6">
        <v>20</v>
      </c>
      <c r="L81" s="6">
        <v>51</v>
      </c>
      <c r="M81" s="6">
        <v>2</v>
      </c>
      <c r="N81" s="6">
        <v>50</v>
      </c>
      <c r="O81" s="6">
        <v>2</v>
      </c>
      <c r="P81" s="6">
        <v>33</v>
      </c>
      <c r="Q81" s="6">
        <v>33</v>
      </c>
      <c r="R81" s="6">
        <v>5</v>
      </c>
      <c r="S81" s="6">
        <v>35</v>
      </c>
      <c r="T81" s="6">
        <v>14</v>
      </c>
      <c r="U81" s="6">
        <v>3</v>
      </c>
      <c r="V81" s="6">
        <v>32</v>
      </c>
      <c r="W81">
        <v>0</v>
      </c>
      <c r="X81">
        <v>90</v>
      </c>
      <c r="Y81">
        <v>0</v>
      </c>
      <c r="Z81">
        <v>0</v>
      </c>
      <c r="AA81">
        <v>0</v>
      </c>
      <c r="AB81">
        <v>18659</v>
      </c>
      <c r="AC81">
        <v>7176.64</v>
      </c>
      <c r="AD81">
        <v>0</v>
      </c>
      <c r="AE81">
        <v>280</v>
      </c>
      <c r="AF81">
        <v>280</v>
      </c>
      <c r="AG81">
        <v>0.61537917358915273</v>
      </c>
      <c r="AH81">
        <v>5224520</v>
      </c>
      <c r="AI81">
        <v>2009459.2000000002</v>
      </c>
      <c r="AJ81">
        <v>3215060.8</v>
      </c>
      <c r="AK81">
        <v>0</v>
      </c>
      <c r="AL81" s="4">
        <v>0</v>
      </c>
      <c r="AM81">
        <v>0</v>
      </c>
      <c r="AN81" s="5">
        <v>23.333333333333332</v>
      </c>
      <c r="AO81" s="4">
        <v>0</v>
      </c>
      <c r="AQ81">
        <v>0.5</v>
      </c>
    </row>
    <row r="82" spans="1:43" x14ac:dyDescent="0.25">
      <c r="A82">
        <v>81</v>
      </c>
      <c r="B82" t="s">
        <v>86</v>
      </c>
      <c r="C82" t="s">
        <v>44</v>
      </c>
      <c r="D82" t="s">
        <v>86</v>
      </c>
      <c r="E82" t="s">
        <v>167</v>
      </c>
      <c r="F82" t="s">
        <v>45</v>
      </c>
      <c r="G82" t="s">
        <v>45</v>
      </c>
      <c r="H82">
        <v>1</v>
      </c>
      <c r="I82">
        <v>1</v>
      </c>
      <c r="J82">
        <v>3.8904600000000005</v>
      </c>
      <c r="K82" s="6">
        <v>304</v>
      </c>
      <c r="L82" s="6">
        <v>231</v>
      </c>
      <c r="M82" s="6">
        <v>49</v>
      </c>
      <c r="N82" s="6">
        <v>55</v>
      </c>
      <c r="O82" s="6">
        <v>23</v>
      </c>
      <c r="P82" s="6">
        <v>0</v>
      </c>
      <c r="Q82" s="6">
        <v>0</v>
      </c>
      <c r="R82" s="6">
        <v>0</v>
      </c>
      <c r="S82" s="6">
        <v>17</v>
      </c>
      <c r="T82" s="6">
        <v>4</v>
      </c>
      <c r="U82" s="6">
        <v>4</v>
      </c>
      <c r="V82" s="6">
        <v>0</v>
      </c>
      <c r="W82">
        <v>0</v>
      </c>
      <c r="X82">
        <v>90</v>
      </c>
      <c r="Y82">
        <v>314</v>
      </c>
      <c r="Z82">
        <v>314</v>
      </c>
      <c r="AA82">
        <v>0</v>
      </c>
      <c r="AB82">
        <v>6800</v>
      </c>
      <c r="AC82">
        <v>3746.06</v>
      </c>
      <c r="AD82">
        <v>0</v>
      </c>
      <c r="AE82">
        <v>687</v>
      </c>
      <c r="AF82">
        <v>687</v>
      </c>
      <c r="AG82">
        <v>0.44910882352941178</v>
      </c>
      <c r="AH82">
        <v>4671600</v>
      </c>
      <c r="AI82">
        <v>2573543.2199999997</v>
      </c>
      <c r="AJ82">
        <v>2098056.7800000003</v>
      </c>
      <c r="AK82">
        <v>1176262.8400000001</v>
      </c>
      <c r="AL82" s="4">
        <v>2.1878980891719739</v>
      </c>
      <c r="AM82">
        <f t="shared" si="1"/>
        <v>5.4847161572052414</v>
      </c>
      <c r="AN82" s="5">
        <v>57.25</v>
      </c>
      <c r="AO82" s="4">
        <v>5.1595500000000003</v>
      </c>
      <c r="AQ82">
        <v>0.5</v>
      </c>
    </row>
    <row r="83" spans="1:43" x14ac:dyDescent="0.25">
      <c r="A83">
        <v>82</v>
      </c>
      <c r="B83" t="s">
        <v>82</v>
      </c>
      <c r="C83" t="s">
        <v>44</v>
      </c>
      <c r="D83" t="s">
        <v>82</v>
      </c>
      <c r="E83" t="s">
        <v>168</v>
      </c>
      <c r="F83" t="s">
        <v>45</v>
      </c>
      <c r="G83" t="s">
        <v>45</v>
      </c>
      <c r="H83">
        <v>1</v>
      </c>
      <c r="I83">
        <v>1</v>
      </c>
      <c r="J83">
        <v>0.155052</v>
      </c>
      <c r="K83" s="6">
        <v>378</v>
      </c>
      <c r="L83" s="6">
        <v>146</v>
      </c>
      <c r="M83" s="6">
        <v>281</v>
      </c>
      <c r="N83" s="6">
        <v>248</v>
      </c>
      <c r="O83" s="6">
        <v>312</v>
      </c>
      <c r="P83" s="6">
        <v>330</v>
      </c>
      <c r="Q83" s="6">
        <v>339</v>
      </c>
      <c r="R83" s="6">
        <v>291</v>
      </c>
      <c r="S83" s="6">
        <v>261</v>
      </c>
      <c r="T83" s="6">
        <v>428</v>
      </c>
      <c r="U83" s="6">
        <v>294</v>
      </c>
      <c r="V83" s="6">
        <v>144</v>
      </c>
      <c r="W83">
        <v>6</v>
      </c>
      <c r="X83">
        <v>90</v>
      </c>
      <c r="Y83">
        <v>876</v>
      </c>
      <c r="Z83">
        <v>876</v>
      </c>
      <c r="AA83">
        <v>0</v>
      </c>
      <c r="AB83">
        <v>1343</v>
      </c>
      <c r="AC83">
        <v>389.19</v>
      </c>
      <c r="AD83">
        <v>0</v>
      </c>
      <c r="AE83">
        <v>3452</v>
      </c>
      <c r="AF83">
        <v>3452</v>
      </c>
      <c r="AG83">
        <v>0.71020848845867457</v>
      </c>
      <c r="AH83">
        <v>4636036</v>
      </c>
      <c r="AI83">
        <v>1343483.88</v>
      </c>
      <c r="AJ83">
        <v>3292552.12</v>
      </c>
      <c r="AK83">
        <v>340930.44</v>
      </c>
      <c r="AL83" s="4">
        <v>3.9406392694063923</v>
      </c>
      <c r="AM83">
        <f t="shared" si="1"/>
        <v>3.0451911935110085</v>
      </c>
      <c r="AN83" s="5">
        <v>287.66666666666669</v>
      </c>
      <c r="AO83" s="4">
        <v>2.5375900000000007</v>
      </c>
      <c r="AQ83">
        <v>0.5</v>
      </c>
    </row>
    <row r="84" spans="1:43" x14ac:dyDescent="0.25">
      <c r="A84">
        <v>83</v>
      </c>
      <c r="B84" t="s">
        <v>86</v>
      </c>
      <c r="C84" t="s">
        <v>44</v>
      </c>
      <c r="D84" t="s">
        <v>86</v>
      </c>
      <c r="E84" t="s">
        <v>169</v>
      </c>
      <c r="F84" t="s">
        <v>45</v>
      </c>
      <c r="G84" t="s">
        <v>45</v>
      </c>
      <c r="H84">
        <v>1</v>
      </c>
      <c r="I84">
        <v>1</v>
      </c>
      <c r="J84">
        <v>0.73785600000000007</v>
      </c>
      <c r="K84" s="6">
        <v>20</v>
      </c>
      <c r="L84" s="6">
        <v>50</v>
      </c>
      <c r="M84" s="6">
        <v>11</v>
      </c>
      <c r="N84" s="6">
        <v>55</v>
      </c>
      <c r="O84" s="6">
        <v>27</v>
      </c>
      <c r="P84" s="6">
        <v>0</v>
      </c>
      <c r="Q84" s="6">
        <v>1</v>
      </c>
      <c r="R84" s="6">
        <v>4</v>
      </c>
      <c r="S84" s="6">
        <v>22</v>
      </c>
      <c r="T84" s="6">
        <v>25</v>
      </c>
      <c r="U84" s="6">
        <v>17</v>
      </c>
      <c r="V84" s="6">
        <v>15</v>
      </c>
      <c r="W84">
        <v>1</v>
      </c>
      <c r="X84">
        <v>90</v>
      </c>
      <c r="Y84">
        <v>72</v>
      </c>
      <c r="Z84">
        <v>72</v>
      </c>
      <c r="AA84">
        <v>0</v>
      </c>
      <c r="AB84">
        <v>18659</v>
      </c>
      <c r="AC84">
        <v>6992.02</v>
      </c>
      <c r="AD84">
        <v>0</v>
      </c>
      <c r="AE84">
        <v>247</v>
      </c>
      <c r="AF84">
        <v>247</v>
      </c>
      <c r="AG84">
        <v>0.62527359451203168</v>
      </c>
      <c r="AH84">
        <v>4608773</v>
      </c>
      <c r="AI84">
        <v>1727028.9400000002</v>
      </c>
      <c r="AJ84">
        <v>2881744.0599999996</v>
      </c>
      <c r="AK84">
        <v>503425.44000000006</v>
      </c>
      <c r="AL84" s="4">
        <v>3.4305555555555554</v>
      </c>
      <c r="AM84">
        <f t="shared" si="1"/>
        <v>3.4979757085020244</v>
      </c>
      <c r="AN84" s="5">
        <v>20.583333333333332</v>
      </c>
      <c r="AO84" s="4">
        <v>13.52736</v>
      </c>
      <c r="AQ84">
        <v>0.5</v>
      </c>
    </row>
    <row r="85" spans="1:43" x14ac:dyDescent="0.25">
      <c r="A85">
        <v>84</v>
      </c>
      <c r="B85" t="s">
        <v>85</v>
      </c>
      <c r="C85" t="s">
        <v>44</v>
      </c>
      <c r="D85" t="s">
        <v>85</v>
      </c>
      <c r="E85" t="s">
        <v>170</v>
      </c>
      <c r="F85" t="s">
        <v>45</v>
      </c>
      <c r="G85" t="s">
        <v>45</v>
      </c>
      <c r="H85">
        <v>1</v>
      </c>
      <c r="I85">
        <v>1</v>
      </c>
      <c r="J85">
        <v>0.56162699999999999</v>
      </c>
      <c r="K85" s="6">
        <v>0</v>
      </c>
      <c r="L85" s="6">
        <v>0</v>
      </c>
      <c r="M85" s="6">
        <v>1400</v>
      </c>
      <c r="N85" s="6">
        <v>0</v>
      </c>
      <c r="O85" s="6">
        <v>0</v>
      </c>
      <c r="P85" s="6">
        <v>0</v>
      </c>
      <c r="Q85" s="6">
        <v>152</v>
      </c>
      <c r="R85" s="6">
        <v>-88</v>
      </c>
      <c r="S85" s="6">
        <v>0</v>
      </c>
      <c r="T85" s="6">
        <v>0</v>
      </c>
      <c r="U85" s="6">
        <v>0</v>
      </c>
      <c r="V85" s="6">
        <v>0</v>
      </c>
      <c r="W85">
        <v>1</v>
      </c>
      <c r="X85">
        <v>90</v>
      </c>
      <c r="Y85">
        <v>495</v>
      </c>
      <c r="Z85">
        <v>495</v>
      </c>
      <c r="AA85">
        <v>0</v>
      </c>
      <c r="AB85">
        <v>3123</v>
      </c>
      <c r="AC85">
        <v>1174.46</v>
      </c>
      <c r="AD85">
        <v>0</v>
      </c>
      <c r="AE85">
        <v>1464</v>
      </c>
      <c r="AF85">
        <v>1464</v>
      </c>
      <c r="AG85">
        <v>0.66444000000000003</v>
      </c>
      <c r="AH85">
        <v>4572072</v>
      </c>
      <c r="AI85">
        <v>1719409.44</v>
      </c>
      <c r="AJ85">
        <v>2852662.56</v>
      </c>
      <c r="AK85">
        <v>581357.70000000007</v>
      </c>
      <c r="AL85" s="4">
        <v>2.9575757575757571</v>
      </c>
      <c r="AM85">
        <f t="shared" si="1"/>
        <v>4.0573770491803289</v>
      </c>
      <c r="AN85" s="5">
        <v>122</v>
      </c>
      <c r="AO85" s="4">
        <v>0.56276159999999997</v>
      </c>
      <c r="AQ85">
        <v>0.5</v>
      </c>
    </row>
    <row r="86" spans="1:43" x14ac:dyDescent="0.25">
      <c r="A86">
        <v>85</v>
      </c>
      <c r="B86" t="s">
        <v>82</v>
      </c>
      <c r="C86" t="s">
        <v>44</v>
      </c>
      <c r="D86" t="s">
        <v>82</v>
      </c>
      <c r="E86" t="s">
        <v>171</v>
      </c>
      <c r="F86" t="s">
        <v>45</v>
      </c>
      <c r="G86" t="s">
        <v>45</v>
      </c>
      <c r="H86">
        <v>1</v>
      </c>
      <c r="I86">
        <v>1</v>
      </c>
      <c r="J86">
        <v>0.244944</v>
      </c>
      <c r="K86" s="6">
        <v>409</v>
      </c>
      <c r="L86" s="6">
        <v>232</v>
      </c>
      <c r="M86" s="6">
        <v>244</v>
      </c>
      <c r="N86" s="6">
        <v>198</v>
      </c>
      <c r="O86" s="6">
        <v>465</v>
      </c>
      <c r="P86" s="6">
        <v>144</v>
      </c>
      <c r="Q86" s="6">
        <v>195</v>
      </c>
      <c r="R86" s="6">
        <v>130</v>
      </c>
      <c r="S86" s="6">
        <v>250</v>
      </c>
      <c r="T86" s="6">
        <v>155</v>
      </c>
      <c r="U86" s="6">
        <v>224</v>
      </c>
      <c r="V86" s="6">
        <v>103</v>
      </c>
      <c r="W86">
        <v>4</v>
      </c>
      <c r="X86">
        <v>90</v>
      </c>
      <c r="Y86">
        <v>1701</v>
      </c>
      <c r="Z86">
        <v>1701</v>
      </c>
      <c r="AA86">
        <v>0</v>
      </c>
      <c r="AB86">
        <v>1645</v>
      </c>
      <c r="AC86">
        <v>500.49</v>
      </c>
      <c r="AD86">
        <v>0</v>
      </c>
      <c r="AE86">
        <v>2749</v>
      </c>
      <c r="AF86">
        <v>2749</v>
      </c>
      <c r="AG86">
        <v>0.6957507598784195</v>
      </c>
      <c r="AH86">
        <v>4522105</v>
      </c>
      <c r="AI86">
        <v>1375847.01</v>
      </c>
      <c r="AJ86">
        <v>3146257.99</v>
      </c>
      <c r="AK86">
        <v>851333.49</v>
      </c>
      <c r="AL86" s="4">
        <v>1.6161081716637273</v>
      </c>
      <c r="AM86">
        <f t="shared" si="1"/>
        <v>7.4252455438341212</v>
      </c>
      <c r="AN86" s="5">
        <v>229.08333333333334</v>
      </c>
      <c r="AO86" s="4">
        <v>1.0322400000000003</v>
      </c>
      <c r="AQ86">
        <v>0.5</v>
      </c>
    </row>
    <row r="87" spans="1:43" x14ac:dyDescent="0.25">
      <c r="A87">
        <v>86</v>
      </c>
      <c r="B87" t="s">
        <v>82</v>
      </c>
      <c r="C87" t="s">
        <v>44</v>
      </c>
      <c r="D87" t="s">
        <v>82</v>
      </c>
      <c r="E87" t="s">
        <v>172</v>
      </c>
      <c r="F87" t="s">
        <v>45</v>
      </c>
      <c r="G87" t="s">
        <v>45</v>
      </c>
      <c r="H87">
        <v>1</v>
      </c>
      <c r="I87">
        <v>1</v>
      </c>
      <c r="J87">
        <v>1.512E-2</v>
      </c>
      <c r="K87" s="6">
        <v>201</v>
      </c>
      <c r="L87" s="6">
        <v>163</v>
      </c>
      <c r="M87" s="6">
        <v>96</v>
      </c>
      <c r="N87" s="6">
        <v>211</v>
      </c>
      <c r="O87" s="6">
        <v>194</v>
      </c>
      <c r="P87" s="6">
        <v>241</v>
      </c>
      <c r="Q87" s="6">
        <v>224</v>
      </c>
      <c r="R87" s="6">
        <v>300</v>
      </c>
      <c r="S87" s="6">
        <v>316</v>
      </c>
      <c r="T87" s="6">
        <v>176</v>
      </c>
      <c r="U87" s="6">
        <v>247</v>
      </c>
      <c r="V87" s="6">
        <v>282</v>
      </c>
      <c r="W87">
        <v>1</v>
      </c>
      <c r="X87">
        <v>90</v>
      </c>
      <c r="Y87">
        <v>105</v>
      </c>
      <c r="Z87">
        <v>105</v>
      </c>
      <c r="AA87">
        <v>0</v>
      </c>
      <c r="AB87">
        <v>1645</v>
      </c>
      <c r="AC87">
        <v>1185.02</v>
      </c>
      <c r="AD87">
        <v>0</v>
      </c>
      <c r="AE87">
        <v>2651</v>
      </c>
      <c r="AF87">
        <v>2651</v>
      </c>
      <c r="AG87">
        <v>0.27962310030395138</v>
      </c>
      <c r="AH87">
        <v>4360895</v>
      </c>
      <c r="AI87">
        <v>3141488.02</v>
      </c>
      <c r="AJ87">
        <v>1219406.98</v>
      </c>
      <c r="AK87">
        <v>124427.09999999999</v>
      </c>
      <c r="AL87" s="4">
        <v>25.24761904761905</v>
      </c>
      <c r="AM87">
        <f t="shared" si="1"/>
        <v>0.47529234251225949</v>
      </c>
      <c r="AN87" s="5">
        <v>220.91666666666666</v>
      </c>
      <c r="AO87" s="4">
        <v>9.3840000000000021E-2</v>
      </c>
      <c r="AQ87">
        <v>0.5</v>
      </c>
    </row>
    <row r="88" spans="1:43" x14ac:dyDescent="0.25">
      <c r="A88">
        <v>87</v>
      </c>
      <c r="B88" t="s">
        <v>82</v>
      </c>
      <c r="C88" t="s">
        <v>44</v>
      </c>
      <c r="D88" t="s">
        <v>82</v>
      </c>
      <c r="E88" t="s">
        <v>173</v>
      </c>
      <c r="F88" t="s">
        <v>45</v>
      </c>
      <c r="G88" t="s">
        <v>45</v>
      </c>
      <c r="H88">
        <v>1</v>
      </c>
      <c r="I88">
        <v>1</v>
      </c>
      <c r="J88">
        <v>0.13422500000000004</v>
      </c>
      <c r="K88" s="6">
        <v>99</v>
      </c>
      <c r="L88" s="6">
        <v>137</v>
      </c>
      <c r="M88" s="6">
        <v>171</v>
      </c>
      <c r="N88" s="6">
        <v>117</v>
      </c>
      <c r="O88" s="6">
        <v>214</v>
      </c>
      <c r="P88" s="6">
        <v>94</v>
      </c>
      <c r="Q88" s="6">
        <v>68</v>
      </c>
      <c r="R88" s="6">
        <v>177</v>
      </c>
      <c r="S88" s="6">
        <v>117</v>
      </c>
      <c r="T88" s="6">
        <v>274</v>
      </c>
      <c r="U88" s="6">
        <v>168</v>
      </c>
      <c r="V88" s="6">
        <v>171</v>
      </c>
      <c r="W88">
        <v>1</v>
      </c>
      <c r="X88">
        <v>90</v>
      </c>
      <c r="Y88">
        <v>455</v>
      </c>
      <c r="Z88">
        <v>455</v>
      </c>
      <c r="AA88">
        <v>0</v>
      </c>
      <c r="AB88">
        <v>2200</v>
      </c>
      <c r="AC88">
        <v>656.59</v>
      </c>
      <c r="AD88">
        <v>0</v>
      </c>
      <c r="AE88">
        <v>1807</v>
      </c>
      <c r="AF88">
        <v>1807</v>
      </c>
      <c r="AG88">
        <v>0.7015499999999999</v>
      </c>
      <c r="AH88">
        <v>3975400</v>
      </c>
      <c r="AI88">
        <v>1186458.1300000001</v>
      </c>
      <c r="AJ88">
        <v>2788941.87</v>
      </c>
      <c r="AK88">
        <v>298748.45</v>
      </c>
      <c r="AL88" s="4">
        <v>3.9714285714285715</v>
      </c>
      <c r="AM88">
        <f t="shared" si="1"/>
        <v>3.0215827338129495</v>
      </c>
      <c r="AN88" s="5">
        <v>150.58333333333334</v>
      </c>
      <c r="AO88" s="4">
        <v>1.3841400000000004</v>
      </c>
      <c r="AQ88">
        <v>0.5</v>
      </c>
    </row>
    <row r="89" spans="1:43" x14ac:dyDescent="0.25">
      <c r="A89">
        <v>88</v>
      </c>
      <c r="B89" t="s">
        <v>82</v>
      </c>
      <c r="C89" t="s">
        <v>44</v>
      </c>
      <c r="D89" t="s">
        <v>82</v>
      </c>
      <c r="E89" t="s">
        <v>174</v>
      </c>
      <c r="F89" t="s">
        <v>45</v>
      </c>
      <c r="G89" t="s">
        <v>45</v>
      </c>
      <c r="H89">
        <v>1</v>
      </c>
      <c r="I89">
        <v>1</v>
      </c>
      <c r="J89">
        <v>0.97232000000000007</v>
      </c>
      <c r="K89" s="6">
        <v>136</v>
      </c>
      <c r="L89" s="6">
        <v>0</v>
      </c>
      <c r="M89" s="6">
        <v>0</v>
      </c>
      <c r="N89" s="6">
        <v>0</v>
      </c>
      <c r="O89" s="6">
        <v>53</v>
      </c>
      <c r="P89" s="6">
        <v>35</v>
      </c>
      <c r="Q89" s="6">
        <v>42</v>
      </c>
      <c r="R89" s="6">
        <v>177</v>
      </c>
      <c r="S89" s="6">
        <v>189</v>
      </c>
      <c r="T89" s="6">
        <v>95</v>
      </c>
      <c r="U89" s="6">
        <v>136</v>
      </c>
      <c r="V89" s="6">
        <v>96</v>
      </c>
      <c r="W89">
        <v>4</v>
      </c>
      <c r="X89">
        <v>90</v>
      </c>
      <c r="Y89">
        <v>1030</v>
      </c>
      <c r="Z89">
        <v>1030</v>
      </c>
      <c r="AA89">
        <v>0</v>
      </c>
      <c r="AB89">
        <v>3750</v>
      </c>
      <c r="AC89">
        <v>1379.38</v>
      </c>
      <c r="AD89">
        <v>0</v>
      </c>
      <c r="AE89">
        <v>959</v>
      </c>
      <c r="AF89">
        <v>959</v>
      </c>
      <c r="AG89">
        <v>0.63216533333333336</v>
      </c>
      <c r="AH89">
        <v>3596250</v>
      </c>
      <c r="AI89">
        <v>1322825.4200000002</v>
      </c>
      <c r="AJ89">
        <v>2273424.58</v>
      </c>
      <c r="AK89">
        <v>1420761.4000000001</v>
      </c>
      <c r="AL89" s="4">
        <v>0.93106796116504853</v>
      </c>
      <c r="AM89">
        <f t="shared" si="1"/>
        <v>12.888425443169968</v>
      </c>
      <c r="AN89" s="5">
        <v>79.916666666666671</v>
      </c>
      <c r="AO89" s="4">
        <v>5.9402675000000018</v>
      </c>
      <c r="AQ89">
        <v>0.5</v>
      </c>
    </row>
    <row r="90" spans="1:43" x14ac:dyDescent="0.25">
      <c r="A90">
        <v>89</v>
      </c>
      <c r="B90" t="s">
        <v>84</v>
      </c>
      <c r="C90" t="s">
        <v>44</v>
      </c>
      <c r="D90" t="s">
        <v>84</v>
      </c>
      <c r="E90" t="s">
        <v>175</v>
      </c>
      <c r="F90" t="s">
        <v>45</v>
      </c>
      <c r="G90" t="s">
        <v>45</v>
      </c>
      <c r="H90">
        <v>1</v>
      </c>
      <c r="I90">
        <v>1</v>
      </c>
      <c r="J90">
        <v>6.0264000000000005E-2</v>
      </c>
      <c r="K90" s="6">
        <v>85</v>
      </c>
      <c r="L90" s="6">
        <v>62</v>
      </c>
      <c r="M90" s="6">
        <v>87</v>
      </c>
      <c r="N90" s="6">
        <v>47</v>
      </c>
      <c r="O90" s="6">
        <v>57</v>
      </c>
      <c r="P90" s="6">
        <v>82</v>
      </c>
      <c r="Q90" s="6">
        <v>59</v>
      </c>
      <c r="R90" s="6">
        <v>35</v>
      </c>
      <c r="S90" s="6">
        <v>126</v>
      </c>
      <c r="T90" s="6">
        <v>28</v>
      </c>
      <c r="U90" s="6">
        <v>90</v>
      </c>
      <c r="V90" s="6">
        <v>36</v>
      </c>
      <c r="W90">
        <v>1</v>
      </c>
      <c r="X90">
        <v>90</v>
      </c>
      <c r="Y90">
        <v>124</v>
      </c>
      <c r="Z90">
        <v>124</v>
      </c>
      <c r="AA90">
        <v>0</v>
      </c>
      <c r="AB90">
        <v>4409</v>
      </c>
      <c r="AC90">
        <v>1398.01</v>
      </c>
      <c r="AD90">
        <v>0</v>
      </c>
      <c r="AE90">
        <v>794</v>
      </c>
      <c r="AF90">
        <v>794</v>
      </c>
      <c r="AG90">
        <v>0.68291902925833514</v>
      </c>
      <c r="AH90">
        <v>3500746</v>
      </c>
      <c r="AI90">
        <v>1110019.94</v>
      </c>
      <c r="AJ90">
        <v>2390726.06</v>
      </c>
      <c r="AK90">
        <v>173353.24</v>
      </c>
      <c r="AL90" s="4">
        <v>6.403225806451613</v>
      </c>
      <c r="AM90">
        <f t="shared" si="1"/>
        <v>1.8740554156171285</v>
      </c>
      <c r="AN90" s="5">
        <v>66.166666666666671</v>
      </c>
      <c r="AO90" s="4">
        <v>0.20196000000000006</v>
      </c>
      <c r="AQ90">
        <v>0.5</v>
      </c>
    </row>
    <row r="91" spans="1:43" x14ac:dyDescent="0.25">
      <c r="A91">
        <v>90</v>
      </c>
      <c r="B91" t="s">
        <v>83</v>
      </c>
      <c r="C91" t="s">
        <v>44</v>
      </c>
      <c r="D91" t="s">
        <v>83</v>
      </c>
      <c r="E91" t="s">
        <v>176</v>
      </c>
      <c r="F91" t="s">
        <v>45</v>
      </c>
      <c r="G91" t="s">
        <v>45</v>
      </c>
      <c r="H91">
        <v>1</v>
      </c>
      <c r="I91">
        <v>1</v>
      </c>
      <c r="J91">
        <v>2.3776200000000003</v>
      </c>
      <c r="K91" s="6">
        <v>154.16999999999999</v>
      </c>
      <c r="L91" s="6">
        <v>21.75</v>
      </c>
      <c r="M91" s="6">
        <v>79.75</v>
      </c>
      <c r="N91" s="6">
        <v>61.37</v>
      </c>
      <c r="O91" s="6">
        <v>139.63</v>
      </c>
      <c r="P91" s="6">
        <v>137.71</v>
      </c>
      <c r="Q91" s="6">
        <v>168.55</v>
      </c>
      <c r="R91" s="6">
        <v>241.64</v>
      </c>
      <c r="S91" s="6">
        <v>116.04</v>
      </c>
      <c r="T91" s="6">
        <v>166.24</v>
      </c>
      <c r="U91" s="6">
        <v>0</v>
      </c>
      <c r="V91" s="6">
        <v>95.62</v>
      </c>
      <c r="W91">
        <v>4</v>
      </c>
      <c r="X91">
        <v>90</v>
      </c>
      <c r="Y91">
        <v>1887</v>
      </c>
      <c r="Z91">
        <v>1887</v>
      </c>
      <c r="AA91">
        <v>0</v>
      </c>
      <c r="AB91">
        <v>2512</v>
      </c>
      <c r="AC91">
        <v>989.69</v>
      </c>
      <c r="AD91">
        <v>0</v>
      </c>
      <c r="AE91">
        <v>1382.4700000000003</v>
      </c>
      <c r="AF91">
        <v>1382.4700000000003</v>
      </c>
      <c r="AG91">
        <v>0.60601512738853502</v>
      </c>
      <c r="AH91">
        <v>3472764.6400000006</v>
      </c>
      <c r="AI91">
        <v>1368216.7343000004</v>
      </c>
      <c r="AJ91">
        <v>2104547.9057</v>
      </c>
      <c r="AK91">
        <v>1867545.03</v>
      </c>
      <c r="AL91" s="4">
        <v>0.7326285108638052</v>
      </c>
      <c r="AM91">
        <f t="shared" si="1"/>
        <v>16.379378937698462</v>
      </c>
      <c r="AN91" s="5">
        <v>115.20583333333336</v>
      </c>
      <c r="AO91" s="4">
        <v>39.62700000000001</v>
      </c>
      <c r="AQ91">
        <v>0.5</v>
      </c>
    </row>
    <row r="92" spans="1:43" x14ac:dyDescent="0.25">
      <c r="A92">
        <v>91</v>
      </c>
      <c r="B92" t="s">
        <v>84</v>
      </c>
      <c r="C92" t="s">
        <v>44</v>
      </c>
      <c r="D92" t="s">
        <v>84</v>
      </c>
      <c r="E92" t="s">
        <v>177</v>
      </c>
      <c r="F92" t="s">
        <v>45</v>
      </c>
      <c r="G92" t="s">
        <v>45</v>
      </c>
      <c r="H92">
        <v>1</v>
      </c>
      <c r="I92">
        <v>1</v>
      </c>
      <c r="J92">
        <v>0.79478400000000005</v>
      </c>
      <c r="K92" s="6">
        <v>89</v>
      </c>
      <c r="L92" s="6">
        <v>123</v>
      </c>
      <c r="M92" s="6">
        <v>89</v>
      </c>
      <c r="N92" s="6">
        <v>72</v>
      </c>
      <c r="O92" s="6">
        <v>37</v>
      </c>
      <c r="P92" s="6">
        <v>52</v>
      </c>
      <c r="Q92" s="6">
        <v>144</v>
      </c>
      <c r="R92" s="6">
        <v>81</v>
      </c>
      <c r="S92" s="6">
        <v>111</v>
      </c>
      <c r="T92" s="6">
        <v>15</v>
      </c>
      <c r="U92" s="6">
        <v>95</v>
      </c>
      <c r="V92" s="6">
        <v>39</v>
      </c>
      <c r="W92">
        <v>2</v>
      </c>
      <c r="X92">
        <v>90</v>
      </c>
      <c r="Y92">
        <v>1948</v>
      </c>
      <c r="Z92">
        <v>1948</v>
      </c>
      <c r="AA92">
        <v>0</v>
      </c>
      <c r="AB92">
        <v>3528</v>
      </c>
      <c r="AC92">
        <v>1045.7</v>
      </c>
      <c r="AD92">
        <v>0</v>
      </c>
      <c r="AE92">
        <v>947</v>
      </c>
      <c r="AF92">
        <v>947</v>
      </c>
      <c r="AG92">
        <v>0.70359977324263046</v>
      </c>
      <c r="AH92">
        <v>3341016</v>
      </c>
      <c r="AI92">
        <v>990277.9</v>
      </c>
      <c r="AJ92">
        <v>2350738.1</v>
      </c>
      <c r="AK92">
        <v>2037023.6</v>
      </c>
      <c r="AL92" s="4">
        <v>0.48613963039014374</v>
      </c>
      <c r="AM92">
        <f t="shared" si="1"/>
        <v>24.684266103484688</v>
      </c>
      <c r="AN92" s="5">
        <v>78.916666666666671</v>
      </c>
      <c r="AO92" s="4">
        <v>2.9172000000000002</v>
      </c>
      <c r="AQ92">
        <v>0.5</v>
      </c>
    </row>
    <row r="93" spans="1:43" x14ac:dyDescent="0.25">
      <c r="A93">
        <v>92</v>
      </c>
      <c r="B93" t="s">
        <v>82</v>
      </c>
      <c r="C93" t="s">
        <v>44</v>
      </c>
      <c r="D93" t="s">
        <v>82</v>
      </c>
      <c r="E93" t="s">
        <v>178</v>
      </c>
      <c r="F93" t="s">
        <v>45</v>
      </c>
      <c r="G93" t="s">
        <v>45</v>
      </c>
      <c r="H93">
        <v>1</v>
      </c>
      <c r="I93">
        <v>1</v>
      </c>
      <c r="J93">
        <v>0.51164799999999999</v>
      </c>
      <c r="K93" s="6">
        <v>0</v>
      </c>
      <c r="L93" s="6">
        <v>0</v>
      </c>
      <c r="M93" s="6">
        <v>0</v>
      </c>
      <c r="N93" s="6">
        <v>0</v>
      </c>
      <c r="O93" s="6">
        <v>151</v>
      </c>
      <c r="P93" s="6">
        <v>92</v>
      </c>
      <c r="Q93" s="6">
        <v>90</v>
      </c>
      <c r="R93" s="6">
        <v>117</v>
      </c>
      <c r="S93" s="6">
        <v>73</v>
      </c>
      <c r="T93" s="6">
        <v>159</v>
      </c>
      <c r="U93" s="6">
        <v>17</v>
      </c>
      <c r="V93" s="6">
        <v>184</v>
      </c>
      <c r="W93">
        <v>3</v>
      </c>
      <c r="X93">
        <v>90</v>
      </c>
      <c r="Y93">
        <v>542</v>
      </c>
      <c r="Z93">
        <v>542</v>
      </c>
      <c r="AA93">
        <v>0</v>
      </c>
      <c r="AB93">
        <v>3750</v>
      </c>
      <c r="AC93">
        <v>1385.4</v>
      </c>
      <c r="AD93">
        <v>0</v>
      </c>
      <c r="AE93">
        <v>883</v>
      </c>
      <c r="AF93">
        <v>883</v>
      </c>
      <c r="AG93">
        <v>0.63056000000000001</v>
      </c>
      <c r="AH93">
        <v>3311250</v>
      </c>
      <c r="AI93">
        <v>1223308.2000000002</v>
      </c>
      <c r="AJ93">
        <v>2087941.7999999998</v>
      </c>
      <c r="AK93">
        <v>750886.8</v>
      </c>
      <c r="AL93" s="4">
        <v>1.6291512915129154</v>
      </c>
      <c r="AM93">
        <f t="shared" si="1"/>
        <v>7.3657984144960347</v>
      </c>
      <c r="AN93" s="5">
        <v>73.583333333333329</v>
      </c>
      <c r="AO93" s="4">
        <v>3.1719875000000011</v>
      </c>
      <c r="AQ93">
        <v>0.5</v>
      </c>
    </row>
    <row r="94" spans="1:43" x14ac:dyDescent="0.25">
      <c r="A94">
        <v>93</v>
      </c>
      <c r="B94" t="s">
        <v>86</v>
      </c>
      <c r="C94" t="s">
        <v>44</v>
      </c>
      <c r="D94" t="s">
        <v>86</v>
      </c>
      <c r="E94" t="s">
        <v>179</v>
      </c>
      <c r="F94" t="s">
        <v>45</v>
      </c>
      <c r="G94" t="s">
        <v>45</v>
      </c>
      <c r="H94">
        <v>1</v>
      </c>
      <c r="I94">
        <v>1</v>
      </c>
      <c r="J94">
        <v>2.8750000000000004E-3</v>
      </c>
      <c r="K94" s="6">
        <v>0</v>
      </c>
      <c r="L94" s="6">
        <v>0</v>
      </c>
      <c r="M94" s="6">
        <v>0</v>
      </c>
      <c r="N94" s="6">
        <v>0</v>
      </c>
      <c r="O94" s="6">
        <v>25</v>
      </c>
      <c r="P94" s="6">
        <v>66</v>
      </c>
      <c r="Q94" s="6">
        <v>103</v>
      </c>
      <c r="R94" s="6">
        <v>51</v>
      </c>
      <c r="S94" s="6">
        <v>36</v>
      </c>
      <c r="T94" s="6">
        <v>93</v>
      </c>
      <c r="U94" s="6">
        <v>68</v>
      </c>
      <c r="V94" s="6">
        <v>39</v>
      </c>
      <c r="W94">
        <v>1</v>
      </c>
      <c r="X94">
        <v>90</v>
      </c>
      <c r="Y94">
        <v>5</v>
      </c>
      <c r="Z94">
        <v>5</v>
      </c>
      <c r="AA94">
        <v>0</v>
      </c>
      <c r="AB94">
        <v>6743.4957588357584</v>
      </c>
      <c r="AC94">
        <v>4995</v>
      </c>
      <c r="AD94">
        <v>0</v>
      </c>
      <c r="AE94">
        <v>481</v>
      </c>
      <c r="AF94">
        <v>481</v>
      </c>
      <c r="AG94">
        <v>0.85019999999999996</v>
      </c>
      <c r="AH94">
        <v>3243621.46</v>
      </c>
      <c r="AI94">
        <v>2402595</v>
      </c>
      <c r="AJ94">
        <v>841026.46</v>
      </c>
      <c r="AK94">
        <v>24975</v>
      </c>
      <c r="AL94" s="4">
        <v>96.2</v>
      </c>
      <c r="AM94">
        <f t="shared" si="1"/>
        <v>0.12474012474012473</v>
      </c>
      <c r="AN94" s="5">
        <v>40.083333333333336</v>
      </c>
      <c r="AO94" s="4">
        <v>6.9000000000000016E-3</v>
      </c>
      <c r="AQ94">
        <v>0.5</v>
      </c>
    </row>
    <row r="95" spans="1:43" x14ac:dyDescent="0.25">
      <c r="A95">
        <v>94</v>
      </c>
      <c r="B95" t="s">
        <v>83</v>
      </c>
      <c r="C95" t="s">
        <v>44</v>
      </c>
      <c r="D95" t="s">
        <v>83</v>
      </c>
      <c r="E95" t="s">
        <v>180</v>
      </c>
      <c r="F95" t="s">
        <v>45</v>
      </c>
      <c r="G95" t="s">
        <v>45</v>
      </c>
      <c r="H95">
        <v>1</v>
      </c>
      <c r="I95">
        <v>1</v>
      </c>
      <c r="J95">
        <v>2.2050000000000004E-2</v>
      </c>
      <c r="K95" s="6">
        <v>92.45</v>
      </c>
      <c r="L95" s="6">
        <v>63.95</v>
      </c>
      <c r="M95" s="6">
        <v>73.849999999999994</v>
      </c>
      <c r="N95" s="6">
        <v>75.95</v>
      </c>
      <c r="O95" s="6">
        <v>210</v>
      </c>
      <c r="P95" s="6">
        <v>217.8</v>
      </c>
      <c r="Q95" s="6">
        <v>245.7</v>
      </c>
      <c r="R95" s="6">
        <v>216.3</v>
      </c>
      <c r="S95" s="6">
        <v>275.3</v>
      </c>
      <c r="T95" s="6">
        <v>185.3</v>
      </c>
      <c r="U95" s="6">
        <v>749.7</v>
      </c>
      <c r="V95" s="6">
        <v>361.2</v>
      </c>
      <c r="W95">
        <v>2</v>
      </c>
      <c r="X95">
        <v>90</v>
      </c>
      <c r="Y95">
        <v>25</v>
      </c>
      <c r="Z95">
        <v>25</v>
      </c>
      <c r="AA95">
        <v>0</v>
      </c>
      <c r="AB95">
        <v>1123</v>
      </c>
      <c r="AC95">
        <v>896.31</v>
      </c>
      <c r="AD95">
        <v>0</v>
      </c>
      <c r="AE95">
        <v>2767.5</v>
      </c>
      <c r="AF95">
        <v>2767.5</v>
      </c>
      <c r="AG95">
        <v>0.20186108637577921</v>
      </c>
      <c r="AH95">
        <v>3107902.5</v>
      </c>
      <c r="AI95">
        <v>2480537.9249999998</v>
      </c>
      <c r="AJ95">
        <v>627364.57500000019</v>
      </c>
      <c r="AK95">
        <v>22407.75</v>
      </c>
      <c r="AL95" s="4">
        <v>110.69999999999999</v>
      </c>
      <c r="AM95">
        <f t="shared" si="1"/>
        <v>0.10840108401084012</v>
      </c>
      <c r="AN95" s="5">
        <v>230.625</v>
      </c>
      <c r="AO95" s="4">
        <v>0.52500000000000013</v>
      </c>
      <c r="AQ95">
        <v>0.5</v>
      </c>
    </row>
    <row r="96" spans="1:43" x14ac:dyDescent="0.25">
      <c r="A96">
        <v>95</v>
      </c>
      <c r="B96" t="s">
        <v>83</v>
      </c>
      <c r="C96" t="s">
        <v>44</v>
      </c>
      <c r="D96" t="s">
        <v>83</v>
      </c>
      <c r="E96" t="s">
        <v>181</v>
      </c>
      <c r="F96" t="s">
        <v>45</v>
      </c>
      <c r="G96" t="s">
        <v>45</v>
      </c>
      <c r="H96">
        <v>1</v>
      </c>
      <c r="I96">
        <v>1</v>
      </c>
      <c r="J96">
        <v>4.5336666666666678</v>
      </c>
      <c r="K96" s="6">
        <v>644.45000000000005</v>
      </c>
      <c r="L96" s="6">
        <v>877.68</v>
      </c>
      <c r="M96" s="6">
        <v>530.54999999999995</v>
      </c>
      <c r="N96" s="6">
        <v>874.9</v>
      </c>
      <c r="O96" s="6">
        <v>1077.55</v>
      </c>
      <c r="P96" s="6">
        <v>585.48</v>
      </c>
      <c r="Q96" s="6">
        <v>708.05</v>
      </c>
      <c r="R96" s="6">
        <v>985</v>
      </c>
      <c r="S96" s="6">
        <v>889.1</v>
      </c>
      <c r="T96" s="6">
        <v>912.21</v>
      </c>
      <c r="U96" s="6">
        <v>739.42</v>
      </c>
      <c r="V96" s="6">
        <v>757.17</v>
      </c>
      <c r="W96">
        <v>13</v>
      </c>
      <c r="X96">
        <v>90</v>
      </c>
      <c r="Y96">
        <v>566.70833333333337</v>
      </c>
      <c r="Z96">
        <v>566.70833333333337</v>
      </c>
      <c r="AA96">
        <v>0</v>
      </c>
      <c r="AB96">
        <v>315</v>
      </c>
      <c r="AC96">
        <v>20.7</v>
      </c>
      <c r="AD96">
        <v>0</v>
      </c>
      <c r="AE96">
        <v>9581.5600000000013</v>
      </c>
      <c r="AF96">
        <v>9581.5600000000013</v>
      </c>
      <c r="AG96">
        <v>0.26</v>
      </c>
      <c r="AH96">
        <v>3018191.4000000004</v>
      </c>
      <c r="AI96">
        <v>198338.29200000002</v>
      </c>
      <c r="AJ96">
        <v>2819853.1080000005</v>
      </c>
      <c r="AK96">
        <v>11730.862500000001</v>
      </c>
      <c r="AL96" s="4">
        <v>16.907392103521801</v>
      </c>
      <c r="AM96">
        <f t="shared" si="1"/>
        <v>0.70974872567723835</v>
      </c>
      <c r="AN96" s="5">
        <v>798.46333333333348</v>
      </c>
      <c r="AO96" s="4">
        <v>4.5360000000000014</v>
      </c>
      <c r="AQ96">
        <v>0.5</v>
      </c>
    </row>
    <row r="97" spans="1:43" x14ac:dyDescent="0.25">
      <c r="A97">
        <v>96</v>
      </c>
      <c r="B97" t="s">
        <v>82</v>
      </c>
      <c r="C97" t="s">
        <v>44</v>
      </c>
      <c r="D97" t="s">
        <v>82</v>
      </c>
      <c r="E97" t="s">
        <v>182</v>
      </c>
      <c r="F97" t="s">
        <v>45</v>
      </c>
      <c r="G97" t="s">
        <v>45</v>
      </c>
      <c r="H97">
        <v>1</v>
      </c>
      <c r="I97">
        <v>1</v>
      </c>
      <c r="J97">
        <v>4.6799999999999993E-3</v>
      </c>
      <c r="K97" s="6">
        <v>45</v>
      </c>
      <c r="L97" s="6">
        <v>35</v>
      </c>
      <c r="M97" s="6">
        <v>5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>
        <v>1</v>
      </c>
      <c r="X97">
        <v>90</v>
      </c>
      <c r="Y97">
        <v>13</v>
      </c>
      <c r="Z97">
        <v>13</v>
      </c>
      <c r="AA97">
        <v>0</v>
      </c>
      <c r="AB97">
        <v>35241</v>
      </c>
      <c r="AC97">
        <v>18500</v>
      </c>
      <c r="AD97">
        <v>0</v>
      </c>
      <c r="AE97">
        <v>85</v>
      </c>
      <c r="AF97">
        <v>85</v>
      </c>
      <c r="AG97">
        <v>0.47504327345989045</v>
      </c>
      <c r="AH97">
        <v>2995485</v>
      </c>
      <c r="AI97">
        <v>1572500</v>
      </c>
      <c r="AJ97">
        <v>1422985</v>
      </c>
      <c r="AK97">
        <v>240500</v>
      </c>
      <c r="AL97" s="4">
        <v>6.5384615384615383</v>
      </c>
      <c r="AM97">
        <f t="shared" si="1"/>
        <v>1.835294117647059</v>
      </c>
      <c r="AN97" s="5">
        <v>7.083333333333333</v>
      </c>
      <c r="AO97" s="4">
        <v>0.60996000000000017</v>
      </c>
      <c r="AQ97">
        <v>0.5</v>
      </c>
    </row>
    <row r="98" spans="1:43" x14ac:dyDescent="0.25">
      <c r="A98">
        <v>97</v>
      </c>
      <c r="B98" t="s">
        <v>84</v>
      </c>
      <c r="C98" t="s">
        <v>44</v>
      </c>
      <c r="D98" t="s">
        <v>84</v>
      </c>
      <c r="E98" t="s">
        <v>183</v>
      </c>
      <c r="F98" t="s">
        <v>45</v>
      </c>
      <c r="G98" t="s">
        <v>45</v>
      </c>
      <c r="H98">
        <v>1</v>
      </c>
      <c r="I98">
        <v>1</v>
      </c>
      <c r="J98">
        <v>0.62640000000000007</v>
      </c>
      <c r="K98" s="6">
        <v>130</v>
      </c>
      <c r="L98" s="6">
        <v>30</v>
      </c>
      <c r="M98" s="6">
        <v>10</v>
      </c>
      <c r="N98" s="6">
        <v>128</v>
      </c>
      <c r="O98" s="6">
        <v>150</v>
      </c>
      <c r="P98" s="6">
        <v>71</v>
      </c>
      <c r="Q98" s="6">
        <v>61</v>
      </c>
      <c r="R98" s="6">
        <v>0</v>
      </c>
      <c r="S98" s="6">
        <v>52</v>
      </c>
      <c r="T98" s="6">
        <v>0</v>
      </c>
      <c r="U98" s="6">
        <v>45</v>
      </c>
      <c r="V98" s="6">
        <v>0</v>
      </c>
      <c r="W98">
        <v>5</v>
      </c>
      <c r="X98">
        <v>90</v>
      </c>
      <c r="Y98">
        <v>1305</v>
      </c>
      <c r="Z98">
        <v>1305</v>
      </c>
      <c r="AA98">
        <v>0</v>
      </c>
      <c r="AB98">
        <v>4250</v>
      </c>
      <c r="AC98">
        <v>999.24</v>
      </c>
      <c r="AD98">
        <v>0</v>
      </c>
      <c r="AE98">
        <v>677</v>
      </c>
      <c r="AF98">
        <v>677</v>
      </c>
      <c r="AG98">
        <v>0.76488470588235302</v>
      </c>
      <c r="AH98">
        <v>2877250</v>
      </c>
      <c r="AI98">
        <v>676485.48</v>
      </c>
      <c r="AJ98">
        <v>2200764.52</v>
      </c>
      <c r="AK98">
        <v>1304008.2</v>
      </c>
      <c r="AL98" s="4">
        <v>0.51877394636015328</v>
      </c>
      <c r="AM98">
        <f t="shared" si="1"/>
        <v>23.131462333825702</v>
      </c>
      <c r="AN98" s="5">
        <v>56.416666666666664</v>
      </c>
      <c r="AO98" s="4">
        <v>1.97472</v>
      </c>
      <c r="AQ98">
        <v>0.5</v>
      </c>
    </row>
    <row r="99" spans="1:43" x14ac:dyDescent="0.25">
      <c r="A99">
        <v>98</v>
      </c>
      <c r="B99" t="s">
        <v>82</v>
      </c>
      <c r="C99" t="s">
        <v>44</v>
      </c>
      <c r="D99" t="s">
        <v>82</v>
      </c>
      <c r="E99" t="s">
        <v>184</v>
      </c>
      <c r="F99" t="s">
        <v>45</v>
      </c>
      <c r="G99" t="s">
        <v>45</v>
      </c>
      <c r="H99">
        <v>1</v>
      </c>
      <c r="I99">
        <v>1</v>
      </c>
      <c r="J99">
        <v>9.6170000000000019E-2</v>
      </c>
      <c r="K99" s="6">
        <v>74</v>
      </c>
      <c r="L99" s="6">
        <v>206</v>
      </c>
      <c r="M99" s="6">
        <v>44</v>
      </c>
      <c r="N99" s="6">
        <v>129</v>
      </c>
      <c r="O99" s="6">
        <v>44</v>
      </c>
      <c r="P99" s="6">
        <v>111</v>
      </c>
      <c r="Q99" s="6">
        <v>269</v>
      </c>
      <c r="R99" s="6">
        <v>33</v>
      </c>
      <c r="S99" s="6">
        <v>84</v>
      </c>
      <c r="T99" s="6">
        <v>128</v>
      </c>
      <c r="U99" s="6">
        <v>107</v>
      </c>
      <c r="V99" s="6">
        <v>75</v>
      </c>
      <c r="W99">
        <v>1</v>
      </c>
      <c r="X99">
        <v>90</v>
      </c>
      <c r="Y99">
        <v>326</v>
      </c>
      <c r="Z99">
        <v>326</v>
      </c>
      <c r="AA99">
        <v>0</v>
      </c>
      <c r="AB99">
        <v>2200</v>
      </c>
      <c r="AC99">
        <v>744.54</v>
      </c>
      <c r="AD99">
        <v>0</v>
      </c>
      <c r="AE99">
        <v>1304</v>
      </c>
      <c r="AF99">
        <v>1304</v>
      </c>
      <c r="AG99">
        <v>0.66157272727272731</v>
      </c>
      <c r="AH99">
        <v>2868800</v>
      </c>
      <c r="AI99">
        <v>970880.15999999992</v>
      </c>
      <c r="AJ99">
        <v>1897919.84</v>
      </c>
      <c r="AK99">
        <v>242720.03999999998</v>
      </c>
      <c r="AL99" s="4">
        <v>4</v>
      </c>
      <c r="AM99">
        <f t="shared" si="1"/>
        <v>3</v>
      </c>
      <c r="AN99" s="5">
        <v>108.66666666666667</v>
      </c>
      <c r="AO99" s="4">
        <v>1.0381050000000003</v>
      </c>
      <c r="AQ99">
        <v>0.5</v>
      </c>
    </row>
    <row r="100" spans="1:43" x14ac:dyDescent="0.25">
      <c r="A100">
        <v>99</v>
      </c>
      <c r="B100" t="s">
        <v>86</v>
      </c>
      <c r="C100" t="s">
        <v>44</v>
      </c>
      <c r="D100" t="s">
        <v>86</v>
      </c>
      <c r="E100" t="s">
        <v>185</v>
      </c>
      <c r="F100" t="s">
        <v>45</v>
      </c>
      <c r="G100" t="s">
        <v>45</v>
      </c>
      <c r="H100">
        <v>1</v>
      </c>
      <c r="I100">
        <v>1</v>
      </c>
      <c r="J100">
        <v>0.54314399999999996</v>
      </c>
      <c r="K100" s="6">
        <v>20</v>
      </c>
      <c r="L100" s="6">
        <v>51</v>
      </c>
      <c r="M100" s="6">
        <v>2</v>
      </c>
      <c r="N100" s="6">
        <v>50</v>
      </c>
      <c r="O100" s="6">
        <v>2</v>
      </c>
      <c r="P100" s="6">
        <v>0</v>
      </c>
      <c r="Q100" s="6">
        <v>0</v>
      </c>
      <c r="R100" s="6">
        <v>3</v>
      </c>
      <c r="S100" s="6">
        <v>1</v>
      </c>
      <c r="T100" s="6">
        <v>5</v>
      </c>
      <c r="U100" s="6">
        <v>0</v>
      </c>
      <c r="V100" s="6">
        <v>11</v>
      </c>
      <c r="W100">
        <v>1</v>
      </c>
      <c r="X100">
        <v>90</v>
      </c>
      <c r="Y100">
        <v>53</v>
      </c>
      <c r="Z100">
        <v>53</v>
      </c>
      <c r="AA100">
        <v>0</v>
      </c>
      <c r="AB100">
        <v>18659</v>
      </c>
      <c r="AC100">
        <v>330.92</v>
      </c>
      <c r="AD100">
        <v>0</v>
      </c>
      <c r="AE100">
        <v>145</v>
      </c>
      <c r="AF100">
        <v>145</v>
      </c>
      <c r="AG100">
        <v>0.98226485878128522</v>
      </c>
      <c r="AH100">
        <v>2705555</v>
      </c>
      <c r="AI100">
        <v>47983.4</v>
      </c>
      <c r="AJ100">
        <v>2657571.6</v>
      </c>
      <c r="AK100">
        <v>17538.760000000002</v>
      </c>
      <c r="AL100" s="4">
        <v>2.7358490566037732</v>
      </c>
      <c r="AM100">
        <f t="shared" si="1"/>
        <v>4.3862068965517249</v>
      </c>
      <c r="AN100" s="5">
        <v>12.083333333333334</v>
      </c>
      <c r="AO100" s="4">
        <v>9.9576399999999996</v>
      </c>
      <c r="AQ100">
        <v>0.5</v>
      </c>
    </row>
    <row r="101" spans="1:43" x14ac:dyDescent="0.25">
      <c r="A101">
        <v>100</v>
      </c>
      <c r="B101" t="s">
        <v>84</v>
      </c>
      <c r="C101" t="s">
        <v>44</v>
      </c>
      <c r="D101" t="s">
        <v>84</v>
      </c>
      <c r="E101" t="s">
        <v>186</v>
      </c>
      <c r="F101" t="s">
        <v>45</v>
      </c>
      <c r="G101" t="s">
        <v>45</v>
      </c>
      <c r="H101">
        <v>1</v>
      </c>
      <c r="I101">
        <v>1</v>
      </c>
      <c r="J101">
        <v>0.15952800000000003</v>
      </c>
      <c r="K101" s="6">
        <v>53</v>
      </c>
      <c r="L101" s="6">
        <v>64</v>
      </c>
      <c r="M101" s="6">
        <v>30</v>
      </c>
      <c r="N101" s="6">
        <v>142</v>
      </c>
      <c r="O101" s="6">
        <v>18</v>
      </c>
      <c r="P101" s="6">
        <v>27</v>
      </c>
      <c r="Q101" s="6">
        <v>84</v>
      </c>
      <c r="R101" s="6">
        <v>221</v>
      </c>
      <c r="S101" s="6">
        <v>13</v>
      </c>
      <c r="T101" s="6">
        <v>65</v>
      </c>
      <c r="U101" s="6">
        <v>28</v>
      </c>
      <c r="V101" s="6">
        <v>20</v>
      </c>
      <c r="W101">
        <v>1</v>
      </c>
      <c r="X101">
        <v>90</v>
      </c>
      <c r="Y101">
        <v>391</v>
      </c>
      <c r="Z101">
        <v>391</v>
      </c>
      <c r="AA101">
        <v>0</v>
      </c>
      <c r="AB101">
        <v>3528</v>
      </c>
      <c r="AC101">
        <v>1961.28</v>
      </c>
      <c r="AD101">
        <v>0</v>
      </c>
      <c r="AE101">
        <v>765</v>
      </c>
      <c r="AF101">
        <v>765</v>
      </c>
      <c r="AG101">
        <v>0.44408163265306122</v>
      </c>
      <c r="AH101">
        <v>2698920</v>
      </c>
      <c r="AI101">
        <v>1500379.2</v>
      </c>
      <c r="AJ101">
        <v>1198540.8</v>
      </c>
      <c r="AK101">
        <v>766860.48</v>
      </c>
      <c r="AL101" s="4">
        <v>1.9565217391304348</v>
      </c>
      <c r="AM101">
        <f t="shared" si="1"/>
        <v>6.1333333333333329</v>
      </c>
      <c r="AN101" s="5">
        <v>63.75</v>
      </c>
      <c r="AO101" s="4">
        <v>0.62831999999999999</v>
      </c>
      <c r="AQ101">
        <v>0.5</v>
      </c>
    </row>
    <row r="102" spans="1:43" x14ac:dyDescent="0.25">
      <c r="A102">
        <v>101</v>
      </c>
      <c r="B102" t="s">
        <v>86</v>
      </c>
      <c r="C102" t="s">
        <v>44</v>
      </c>
      <c r="D102" t="s">
        <v>86</v>
      </c>
      <c r="E102" t="s">
        <v>187</v>
      </c>
      <c r="F102" t="s">
        <v>45</v>
      </c>
      <c r="G102" t="s">
        <v>45</v>
      </c>
      <c r="H102">
        <v>1</v>
      </c>
      <c r="I102">
        <v>1</v>
      </c>
      <c r="J102">
        <v>0.15336</v>
      </c>
      <c r="K102" s="6">
        <v>0</v>
      </c>
      <c r="L102" s="6">
        <v>0</v>
      </c>
      <c r="M102" s="6">
        <v>48</v>
      </c>
      <c r="N102" s="6">
        <v>30</v>
      </c>
      <c r="O102" s="6">
        <v>30</v>
      </c>
      <c r="P102" s="6">
        <v>19</v>
      </c>
      <c r="Q102" s="6">
        <v>31</v>
      </c>
      <c r="R102" s="6">
        <v>0</v>
      </c>
      <c r="S102" s="6">
        <v>36</v>
      </c>
      <c r="T102" s="6">
        <v>0</v>
      </c>
      <c r="U102" s="6">
        <v>41</v>
      </c>
      <c r="V102" s="6">
        <v>46</v>
      </c>
      <c r="W102">
        <v>1</v>
      </c>
      <c r="X102">
        <v>90</v>
      </c>
      <c r="Y102">
        <v>71</v>
      </c>
      <c r="Z102">
        <v>71</v>
      </c>
      <c r="AA102">
        <v>0</v>
      </c>
      <c r="AB102">
        <v>9550</v>
      </c>
      <c r="AC102">
        <v>3084.14</v>
      </c>
      <c r="AD102">
        <v>0</v>
      </c>
      <c r="AE102">
        <v>281</v>
      </c>
      <c r="AF102">
        <v>281</v>
      </c>
      <c r="AG102">
        <v>0.67705340314136131</v>
      </c>
      <c r="AH102">
        <v>2683550</v>
      </c>
      <c r="AI102">
        <v>866643.34</v>
      </c>
      <c r="AJ102">
        <v>1816906.6600000001</v>
      </c>
      <c r="AK102">
        <v>218973.94</v>
      </c>
      <c r="AL102" s="4">
        <v>3.957746478873239</v>
      </c>
      <c r="AM102">
        <f t="shared" si="1"/>
        <v>3.0320284697508901</v>
      </c>
      <c r="AN102" s="5">
        <v>23.416666666666668</v>
      </c>
      <c r="AO102" s="4">
        <v>0.29760000000000003</v>
      </c>
      <c r="AQ102">
        <v>0.5</v>
      </c>
    </row>
    <row r="103" spans="1:43" x14ac:dyDescent="0.25">
      <c r="A103">
        <v>102</v>
      </c>
      <c r="B103" t="s">
        <v>84</v>
      </c>
      <c r="C103" t="s">
        <v>44</v>
      </c>
      <c r="D103" t="s">
        <v>84</v>
      </c>
      <c r="E103" t="s">
        <v>188</v>
      </c>
      <c r="F103" t="s">
        <v>45</v>
      </c>
      <c r="G103" t="s">
        <v>45</v>
      </c>
      <c r="H103">
        <v>1</v>
      </c>
      <c r="I103">
        <v>1</v>
      </c>
      <c r="J103">
        <v>0.23911200000000002</v>
      </c>
      <c r="K103" s="6">
        <v>63</v>
      </c>
      <c r="L103" s="6">
        <v>24</v>
      </c>
      <c r="M103" s="6">
        <v>45</v>
      </c>
      <c r="N103" s="6">
        <v>15</v>
      </c>
      <c r="O103" s="6">
        <v>55</v>
      </c>
      <c r="P103" s="6">
        <v>91</v>
      </c>
      <c r="Q103" s="6">
        <v>82</v>
      </c>
      <c r="R103" s="6">
        <v>94</v>
      </c>
      <c r="S103" s="6">
        <v>51</v>
      </c>
      <c r="T103" s="6">
        <v>11</v>
      </c>
      <c r="U103" s="6">
        <v>46</v>
      </c>
      <c r="V103" s="6">
        <v>107</v>
      </c>
      <c r="W103">
        <v>1</v>
      </c>
      <c r="X103">
        <v>90</v>
      </c>
      <c r="Y103">
        <v>492</v>
      </c>
      <c r="Z103">
        <v>492</v>
      </c>
      <c r="AA103">
        <v>0</v>
      </c>
      <c r="AB103">
        <v>3902</v>
      </c>
      <c r="AC103">
        <v>2301.83</v>
      </c>
      <c r="AD103">
        <v>0</v>
      </c>
      <c r="AE103">
        <v>684</v>
      </c>
      <c r="AF103">
        <v>684</v>
      </c>
      <c r="AG103">
        <v>0.41008969759097902</v>
      </c>
      <c r="AH103">
        <v>2668968</v>
      </c>
      <c r="AI103">
        <v>1574451.72</v>
      </c>
      <c r="AJ103">
        <v>1094516.28</v>
      </c>
      <c r="AK103">
        <v>1132500.3599999999</v>
      </c>
      <c r="AL103" s="4">
        <v>1.3902439024390245</v>
      </c>
      <c r="AM103">
        <f t="shared" si="1"/>
        <v>8.6315789473684195</v>
      </c>
      <c r="AN103" s="5">
        <v>57</v>
      </c>
      <c r="AO103" s="4">
        <v>0.65637000000000023</v>
      </c>
      <c r="AQ103">
        <v>0.5</v>
      </c>
    </row>
    <row r="104" spans="1:43" x14ac:dyDescent="0.25">
      <c r="A104">
        <v>103</v>
      </c>
      <c r="B104" t="s">
        <v>82</v>
      </c>
      <c r="C104" t="s">
        <v>44</v>
      </c>
      <c r="D104" t="s">
        <v>82</v>
      </c>
      <c r="E104" t="s">
        <v>189</v>
      </c>
      <c r="F104" t="s">
        <v>45</v>
      </c>
      <c r="G104" t="s">
        <v>45</v>
      </c>
      <c r="H104">
        <v>1</v>
      </c>
      <c r="I104">
        <v>1</v>
      </c>
      <c r="J104">
        <v>0.240816</v>
      </c>
      <c r="K104" s="6">
        <v>19</v>
      </c>
      <c r="L104" s="6">
        <v>40</v>
      </c>
      <c r="M104" s="6">
        <v>29</v>
      </c>
      <c r="N104" s="6">
        <v>98</v>
      </c>
      <c r="O104" s="6">
        <v>2</v>
      </c>
      <c r="P104" s="6">
        <v>32</v>
      </c>
      <c r="Q104" s="6">
        <v>14</v>
      </c>
      <c r="R104" s="6">
        <v>12</v>
      </c>
      <c r="S104" s="6">
        <v>3</v>
      </c>
      <c r="T104" s="6">
        <v>191</v>
      </c>
      <c r="U104" s="6">
        <v>72</v>
      </c>
      <c r="V104" s="6">
        <v>0</v>
      </c>
      <c r="W104">
        <v>3</v>
      </c>
      <c r="X104">
        <v>90</v>
      </c>
      <c r="Y104">
        <v>692</v>
      </c>
      <c r="Z104">
        <v>692</v>
      </c>
      <c r="AA104">
        <v>0</v>
      </c>
      <c r="AB104">
        <v>5200</v>
      </c>
      <c r="AC104">
        <v>540.75</v>
      </c>
      <c r="AD104">
        <v>0</v>
      </c>
      <c r="AE104">
        <v>512</v>
      </c>
      <c r="AF104">
        <v>512</v>
      </c>
      <c r="AG104">
        <v>0.89600961538461543</v>
      </c>
      <c r="AH104">
        <v>2662400</v>
      </c>
      <c r="AI104">
        <v>276864</v>
      </c>
      <c r="AJ104">
        <v>2385536</v>
      </c>
      <c r="AK104">
        <v>374199</v>
      </c>
      <c r="AL104" s="4">
        <v>0.73988439306358378</v>
      </c>
      <c r="AM104">
        <f t="shared" si="1"/>
        <v>16.21875</v>
      </c>
      <c r="AN104" s="5">
        <v>42.666666666666664</v>
      </c>
      <c r="AO104" s="4">
        <v>0.51025500000000013</v>
      </c>
      <c r="AQ104">
        <v>0.5</v>
      </c>
    </row>
    <row r="105" spans="1:43" x14ac:dyDescent="0.25">
      <c r="A105">
        <v>104</v>
      </c>
      <c r="B105" t="s">
        <v>82</v>
      </c>
      <c r="C105" t="s">
        <v>44</v>
      </c>
      <c r="D105" t="s">
        <v>82</v>
      </c>
      <c r="E105" t="s">
        <v>190</v>
      </c>
      <c r="F105" t="s">
        <v>45</v>
      </c>
      <c r="G105" t="s">
        <v>45</v>
      </c>
      <c r="H105">
        <v>1</v>
      </c>
      <c r="I105">
        <v>1</v>
      </c>
      <c r="J105">
        <v>0.43848800000000004</v>
      </c>
      <c r="K105" s="6">
        <v>115</v>
      </c>
      <c r="L105" s="6">
        <v>99</v>
      </c>
      <c r="M105" s="6">
        <v>53</v>
      </c>
      <c r="N105" s="6">
        <v>97</v>
      </c>
      <c r="O105" s="6">
        <v>78</v>
      </c>
      <c r="P105" s="6">
        <v>55</v>
      </c>
      <c r="Q105" s="6">
        <v>88</v>
      </c>
      <c r="R105" s="6">
        <v>135</v>
      </c>
      <c r="S105" s="6">
        <v>116</v>
      </c>
      <c r="T105" s="6">
        <v>87</v>
      </c>
      <c r="U105" s="6">
        <v>77</v>
      </c>
      <c r="V105" s="6">
        <v>76</v>
      </c>
      <c r="W105">
        <v>5</v>
      </c>
      <c r="X105">
        <v>90</v>
      </c>
      <c r="Y105">
        <v>1858</v>
      </c>
      <c r="Z105">
        <v>1858</v>
      </c>
      <c r="AA105">
        <v>0</v>
      </c>
      <c r="AB105">
        <v>2377</v>
      </c>
      <c r="AC105">
        <v>592.21</v>
      </c>
      <c r="AD105">
        <v>0</v>
      </c>
      <c r="AE105">
        <v>1076</v>
      </c>
      <c r="AF105">
        <v>1076</v>
      </c>
      <c r="AG105">
        <v>0.75085822465292384</v>
      </c>
      <c r="AH105">
        <v>2557652</v>
      </c>
      <c r="AI105">
        <v>637217.96000000008</v>
      </c>
      <c r="AJ105">
        <v>1920434.04</v>
      </c>
      <c r="AK105">
        <v>1100326.1800000002</v>
      </c>
      <c r="AL105" s="4">
        <v>0.57911733046286329</v>
      </c>
      <c r="AM105">
        <f t="shared" si="1"/>
        <v>20.721189591078065</v>
      </c>
      <c r="AN105" s="5">
        <v>89.666666666666671</v>
      </c>
      <c r="AO105" s="4">
        <v>5.4212150000000019</v>
      </c>
      <c r="AQ105">
        <v>0.5</v>
      </c>
    </row>
    <row r="106" spans="1:43" x14ac:dyDescent="0.25">
      <c r="A106">
        <v>105</v>
      </c>
      <c r="B106" t="s">
        <v>86</v>
      </c>
      <c r="C106" t="s">
        <v>44</v>
      </c>
      <c r="D106" t="s">
        <v>86</v>
      </c>
      <c r="E106" t="s">
        <v>191</v>
      </c>
      <c r="F106" t="s">
        <v>45</v>
      </c>
      <c r="G106" t="s">
        <v>45</v>
      </c>
      <c r="H106">
        <v>1</v>
      </c>
      <c r="I106">
        <v>1</v>
      </c>
      <c r="J106">
        <v>0.15984000000000001</v>
      </c>
      <c r="K106" s="6">
        <v>0</v>
      </c>
      <c r="L106" s="6">
        <v>0</v>
      </c>
      <c r="M106" s="6">
        <v>0</v>
      </c>
      <c r="N106" s="6">
        <v>30</v>
      </c>
      <c r="O106" s="6">
        <v>27</v>
      </c>
      <c r="P106" s="6">
        <v>38</v>
      </c>
      <c r="Q106" s="6">
        <v>70</v>
      </c>
      <c r="R106" s="6">
        <v>0</v>
      </c>
      <c r="S106" s="6">
        <v>1</v>
      </c>
      <c r="T106" s="6">
        <v>0</v>
      </c>
      <c r="U106" s="6">
        <v>20</v>
      </c>
      <c r="V106" s="6">
        <v>81</v>
      </c>
      <c r="W106">
        <v>1</v>
      </c>
      <c r="X106">
        <v>90</v>
      </c>
      <c r="Y106">
        <v>74</v>
      </c>
      <c r="Z106">
        <v>74</v>
      </c>
      <c r="AA106">
        <v>0</v>
      </c>
      <c r="AB106">
        <v>9550</v>
      </c>
      <c r="AC106">
        <v>3084.14</v>
      </c>
      <c r="AD106">
        <v>0</v>
      </c>
      <c r="AE106">
        <v>267</v>
      </c>
      <c r="AF106">
        <v>267</v>
      </c>
      <c r="AG106">
        <v>0.67705340314136131</v>
      </c>
      <c r="AH106">
        <v>2549850</v>
      </c>
      <c r="AI106">
        <v>823465.38</v>
      </c>
      <c r="AJ106">
        <v>1726384.62</v>
      </c>
      <c r="AK106">
        <v>228226.36</v>
      </c>
      <c r="AL106" s="4">
        <v>3.6081081081081083</v>
      </c>
      <c r="AM106">
        <f t="shared" si="1"/>
        <v>3.3258426966292132</v>
      </c>
      <c r="AN106" s="5">
        <v>22.25</v>
      </c>
      <c r="AO106" s="4">
        <v>0.29760000000000003</v>
      </c>
      <c r="AQ106">
        <v>0.5</v>
      </c>
    </row>
    <row r="107" spans="1:43" x14ac:dyDescent="0.25">
      <c r="A107">
        <v>106</v>
      </c>
      <c r="B107" t="s">
        <v>84</v>
      </c>
      <c r="C107" t="s">
        <v>44</v>
      </c>
      <c r="D107" t="s">
        <v>84</v>
      </c>
      <c r="E107" t="s">
        <v>192</v>
      </c>
      <c r="F107" t="s">
        <v>45</v>
      </c>
      <c r="G107" t="s">
        <v>45</v>
      </c>
      <c r="H107">
        <v>1</v>
      </c>
      <c r="I107">
        <v>1</v>
      </c>
      <c r="J107">
        <v>8.6508000000000015E-2</v>
      </c>
      <c r="K107" s="6">
        <v>36</v>
      </c>
      <c r="L107" s="6">
        <v>84</v>
      </c>
      <c r="M107" s="6">
        <v>43</v>
      </c>
      <c r="N107" s="6">
        <v>25</v>
      </c>
      <c r="O107" s="6">
        <v>82</v>
      </c>
      <c r="P107" s="6">
        <v>5</v>
      </c>
      <c r="Q107" s="6">
        <v>105</v>
      </c>
      <c r="R107" s="6">
        <v>31</v>
      </c>
      <c r="S107" s="6">
        <v>26</v>
      </c>
      <c r="T107" s="6">
        <v>63</v>
      </c>
      <c r="U107" s="6">
        <v>29</v>
      </c>
      <c r="V107" s="6">
        <v>34</v>
      </c>
      <c r="W107">
        <v>1</v>
      </c>
      <c r="X107">
        <v>90</v>
      </c>
      <c r="Y107">
        <v>178</v>
      </c>
      <c r="Z107">
        <v>178</v>
      </c>
      <c r="AA107">
        <v>0</v>
      </c>
      <c r="AB107">
        <v>4409</v>
      </c>
      <c r="AC107">
        <v>1421.93</v>
      </c>
      <c r="AD107">
        <v>0</v>
      </c>
      <c r="AE107">
        <v>563</v>
      </c>
      <c r="AF107">
        <v>563</v>
      </c>
      <c r="AG107">
        <v>0.677493762757995</v>
      </c>
      <c r="AH107">
        <v>2482267</v>
      </c>
      <c r="AI107">
        <v>800546.59000000008</v>
      </c>
      <c r="AJ107">
        <v>1681720.41</v>
      </c>
      <c r="AK107">
        <v>253103.54</v>
      </c>
      <c r="AL107" s="4">
        <v>3.1629213483146068</v>
      </c>
      <c r="AM107">
        <f t="shared" si="1"/>
        <v>3.7939609236234459</v>
      </c>
      <c r="AN107" s="5">
        <v>46.916666666666664</v>
      </c>
      <c r="AO107" s="4">
        <v>0.25245000000000006</v>
      </c>
      <c r="AQ107">
        <v>0.5</v>
      </c>
    </row>
    <row r="108" spans="1:43" x14ac:dyDescent="0.25">
      <c r="A108">
        <v>107</v>
      </c>
      <c r="B108" t="s">
        <v>86</v>
      </c>
      <c r="C108" t="s">
        <v>44</v>
      </c>
      <c r="D108" t="s">
        <v>86</v>
      </c>
      <c r="E108" t="s">
        <v>193</v>
      </c>
      <c r="F108" t="s">
        <v>45</v>
      </c>
      <c r="G108" t="s">
        <v>45</v>
      </c>
      <c r="H108">
        <v>1</v>
      </c>
      <c r="I108">
        <v>1</v>
      </c>
      <c r="J108">
        <v>0.64562399999999998</v>
      </c>
      <c r="K108" s="6">
        <v>20</v>
      </c>
      <c r="L108" s="6">
        <v>50</v>
      </c>
      <c r="M108" s="6">
        <v>1</v>
      </c>
      <c r="N108" s="6">
        <v>9</v>
      </c>
      <c r="O108" s="6">
        <v>8</v>
      </c>
      <c r="P108" s="6">
        <v>0</v>
      </c>
      <c r="Q108" s="6">
        <v>9</v>
      </c>
      <c r="R108" s="6">
        <v>9</v>
      </c>
      <c r="S108" s="6">
        <v>2</v>
      </c>
      <c r="T108" s="6">
        <v>4</v>
      </c>
      <c r="U108" s="6">
        <v>0</v>
      </c>
      <c r="V108" s="6">
        <v>21</v>
      </c>
      <c r="W108">
        <v>1</v>
      </c>
      <c r="X108">
        <v>90</v>
      </c>
      <c r="Y108">
        <v>63</v>
      </c>
      <c r="Z108">
        <v>63</v>
      </c>
      <c r="AA108">
        <v>0</v>
      </c>
      <c r="AB108">
        <v>18659</v>
      </c>
      <c r="AC108">
        <v>6991.56</v>
      </c>
      <c r="AD108">
        <v>0</v>
      </c>
      <c r="AE108">
        <v>133</v>
      </c>
      <c r="AF108">
        <v>133</v>
      </c>
      <c r="AG108">
        <v>0.62529824749450658</v>
      </c>
      <c r="AH108">
        <v>2481647</v>
      </c>
      <c r="AI108">
        <v>929877.4800000001</v>
      </c>
      <c r="AJ108">
        <v>1551769.52</v>
      </c>
      <c r="AK108">
        <v>440468.28</v>
      </c>
      <c r="AL108" s="4">
        <v>2.1111111111111112</v>
      </c>
      <c r="AM108">
        <f t="shared" si="1"/>
        <v>5.6842105263157894</v>
      </c>
      <c r="AN108" s="5">
        <v>11.083333333333334</v>
      </c>
      <c r="AO108" s="4">
        <v>11.83644</v>
      </c>
      <c r="AQ108">
        <v>0.5</v>
      </c>
    </row>
    <row r="109" spans="1:43" x14ac:dyDescent="0.25">
      <c r="A109">
        <v>108</v>
      </c>
      <c r="B109" t="s">
        <v>84</v>
      </c>
      <c r="C109" t="s">
        <v>44</v>
      </c>
      <c r="D109" t="s">
        <v>84</v>
      </c>
      <c r="E109" t="s">
        <v>194</v>
      </c>
      <c r="F109" t="s">
        <v>45</v>
      </c>
      <c r="G109" t="s">
        <v>45</v>
      </c>
      <c r="H109">
        <v>1</v>
      </c>
      <c r="I109">
        <v>1</v>
      </c>
      <c r="J109">
        <v>4.2282000000000007E-2</v>
      </c>
      <c r="K109" s="6">
        <v>53</v>
      </c>
      <c r="L109" s="6">
        <v>8</v>
      </c>
      <c r="M109" s="6">
        <v>-10</v>
      </c>
      <c r="N109" s="6">
        <v>35</v>
      </c>
      <c r="O109" s="6">
        <v>79</v>
      </c>
      <c r="P109" s="6">
        <v>2</v>
      </c>
      <c r="Q109" s="6">
        <v>0</v>
      </c>
      <c r="R109" s="6">
        <v>21</v>
      </c>
      <c r="S109" s="6">
        <v>18</v>
      </c>
      <c r="T109" s="6">
        <v>47</v>
      </c>
      <c r="U109" s="6">
        <v>50</v>
      </c>
      <c r="V109" s="6">
        <v>18</v>
      </c>
      <c r="W109">
        <v>0</v>
      </c>
      <c r="X109">
        <v>90</v>
      </c>
      <c r="Y109">
        <v>87</v>
      </c>
      <c r="Z109">
        <v>87</v>
      </c>
      <c r="AA109">
        <v>0</v>
      </c>
      <c r="AB109">
        <v>7512</v>
      </c>
      <c r="AC109">
        <v>2617.5700000000002</v>
      </c>
      <c r="AD109">
        <v>0</v>
      </c>
      <c r="AE109">
        <v>321</v>
      </c>
      <c r="AF109">
        <v>321</v>
      </c>
      <c r="AG109">
        <v>0.65154818956336535</v>
      </c>
      <c r="AH109">
        <v>2411352</v>
      </c>
      <c r="AI109">
        <v>840239.97000000009</v>
      </c>
      <c r="AJ109">
        <v>1571112.0299999998</v>
      </c>
      <c r="AK109">
        <v>227728.59000000003</v>
      </c>
      <c r="AL109" s="4">
        <v>3.6896551724137931</v>
      </c>
      <c r="AM109">
        <f t="shared" si="1"/>
        <v>3.2523364485981308</v>
      </c>
      <c r="AN109" s="5">
        <v>26.75</v>
      </c>
      <c r="AO109" s="4">
        <v>0.15147000000000005</v>
      </c>
      <c r="AQ109">
        <v>0.5</v>
      </c>
    </row>
    <row r="110" spans="1:43" x14ac:dyDescent="0.25">
      <c r="A110">
        <v>109</v>
      </c>
      <c r="B110" t="s">
        <v>82</v>
      </c>
      <c r="C110" t="s">
        <v>44</v>
      </c>
      <c r="D110" t="s">
        <v>82</v>
      </c>
      <c r="E110" t="s">
        <v>195</v>
      </c>
      <c r="F110" t="s">
        <v>45</v>
      </c>
      <c r="G110" t="s">
        <v>45</v>
      </c>
      <c r="H110">
        <v>1</v>
      </c>
      <c r="I110">
        <v>1</v>
      </c>
      <c r="J110">
        <v>1.4159999999999999E-2</v>
      </c>
      <c r="K110" s="6">
        <v>89</v>
      </c>
      <c r="L110" s="6">
        <v>22</v>
      </c>
      <c r="M110" s="6">
        <v>127</v>
      </c>
      <c r="N110" s="6">
        <v>23</v>
      </c>
      <c r="O110" s="6">
        <v>63</v>
      </c>
      <c r="P110" s="6">
        <v>0</v>
      </c>
      <c r="Q110" s="6">
        <v>0</v>
      </c>
      <c r="R110" s="6">
        <v>180</v>
      </c>
      <c r="S110" s="6">
        <v>32</v>
      </c>
      <c r="T110" s="6">
        <v>27</v>
      </c>
      <c r="U110" s="6">
        <v>16</v>
      </c>
      <c r="V110" s="6">
        <v>40</v>
      </c>
      <c r="W110">
        <v>1</v>
      </c>
      <c r="X110">
        <v>90</v>
      </c>
      <c r="Y110">
        <v>20</v>
      </c>
      <c r="Z110">
        <v>20</v>
      </c>
      <c r="AA110">
        <v>0</v>
      </c>
      <c r="AB110">
        <v>3750</v>
      </c>
      <c r="AC110">
        <v>1282.47</v>
      </c>
      <c r="AD110">
        <v>0</v>
      </c>
      <c r="AE110">
        <v>619</v>
      </c>
      <c r="AF110">
        <v>619</v>
      </c>
      <c r="AG110">
        <v>0.65800799999999993</v>
      </c>
      <c r="AH110">
        <v>2321250</v>
      </c>
      <c r="AI110">
        <v>793848.93</v>
      </c>
      <c r="AJ110">
        <v>1527401.0699999998</v>
      </c>
      <c r="AK110">
        <v>25649.4</v>
      </c>
      <c r="AL110" s="4">
        <v>30.95</v>
      </c>
      <c r="AM110">
        <f t="shared" si="1"/>
        <v>0.3877221324717286</v>
      </c>
      <c r="AN110" s="5">
        <v>51.583333333333336</v>
      </c>
      <c r="AO110" s="4">
        <v>0.11534500000000003</v>
      </c>
      <c r="AQ110">
        <v>0.5</v>
      </c>
    </row>
    <row r="111" spans="1:43" x14ac:dyDescent="0.25">
      <c r="A111">
        <v>110</v>
      </c>
      <c r="B111" t="s">
        <v>86</v>
      </c>
      <c r="C111" t="s">
        <v>44</v>
      </c>
      <c r="D111" t="s">
        <v>86</v>
      </c>
      <c r="E111" t="s">
        <v>196</v>
      </c>
      <c r="F111" t="s">
        <v>45</v>
      </c>
      <c r="G111" t="s">
        <v>45</v>
      </c>
      <c r="H111">
        <v>1</v>
      </c>
      <c r="I111">
        <v>1</v>
      </c>
      <c r="J111">
        <v>48.40128</v>
      </c>
      <c r="K111" s="6">
        <v>0</v>
      </c>
      <c r="L111" s="6">
        <v>0</v>
      </c>
      <c r="M111" s="6">
        <v>38</v>
      </c>
      <c r="N111" s="6">
        <v>36</v>
      </c>
      <c r="O111" s="6">
        <v>17</v>
      </c>
      <c r="P111" s="6">
        <v>28</v>
      </c>
      <c r="Q111" s="6">
        <v>-2</v>
      </c>
      <c r="R111" s="6">
        <v>21</v>
      </c>
      <c r="S111" s="6">
        <v>0</v>
      </c>
      <c r="T111" s="6">
        <v>22</v>
      </c>
      <c r="U111" s="6">
        <v>28</v>
      </c>
      <c r="V111" s="6">
        <v>49</v>
      </c>
      <c r="W111">
        <v>3</v>
      </c>
      <c r="X111">
        <v>90</v>
      </c>
      <c r="Y111">
        <v>22408</v>
      </c>
      <c r="Z111">
        <v>22408</v>
      </c>
      <c r="AA111">
        <v>0</v>
      </c>
      <c r="AB111">
        <v>9550</v>
      </c>
      <c r="AC111">
        <v>10.050000000000001</v>
      </c>
      <c r="AD111">
        <v>0</v>
      </c>
      <c r="AE111">
        <v>237</v>
      </c>
      <c r="AF111">
        <v>237</v>
      </c>
      <c r="AG111">
        <v>0.99894764397905766</v>
      </c>
      <c r="AH111">
        <v>2263350</v>
      </c>
      <c r="AI111">
        <v>2381.8500000000004</v>
      </c>
      <c r="AJ111">
        <v>2260968.15</v>
      </c>
      <c r="AK111">
        <v>225200.40000000002</v>
      </c>
      <c r="AL111" s="4">
        <v>1.0576579792931097E-2</v>
      </c>
      <c r="AM111">
        <f t="shared" si="1"/>
        <v>1134.5822784810125</v>
      </c>
      <c r="AN111" s="5">
        <v>19.75</v>
      </c>
      <c r="AO111" s="4">
        <v>83.365200000000016</v>
      </c>
      <c r="AQ111">
        <v>0.5</v>
      </c>
    </row>
    <row r="112" spans="1:43" x14ac:dyDescent="0.25">
      <c r="A112">
        <v>111</v>
      </c>
      <c r="B112" t="s">
        <v>82</v>
      </c>
      <c r="C112" t="s">
        <v>44</v>
      </c>
      <c r="D112" t="s">
        <v>82</v>
      </c>
      <c r="E112" t="s">
        <v>197</v>
      </c>
      <c r="F112" t="s">
        <v>45</v>
      </c>
      <c r="G112" t="s">
        <v>45</v>
      </c>
      <c r="H112">
        <v>1</v>
      </c>
      <c r="I112">
        <v>1</v>
      </c>
      <c r="J112">
        <v>3.8939999999999995E-2</v>
      </c>
      <c r="K112" s="6">
        <v>42</v>
      </c>
      <c r="L112" s="6">
        <v>66</v>
      </c>
      <c r="M112" s="6">
        <v>58</v>
      </c>
      <c r="N112" s="6">
        <v>151</v>
      </c>
      <c r="O112" s="6">
        <v>43</v>
      </c>
      <c r="P112" s="6">
        <v>100</v>
      </c>
      <c r="Q112" s="6">
        <v>19</v>
      </c>
      <c r="R112" s="6">
        <v>0</v>
      </c>
      <c r="S112" s="6">
        <v>62</v>
      </c>
      <c r="T112" s="6">
        <v>179</v>
      </c>
      <c r="U112" s="6">
        <v>100</v>
      </c>
      <c r="V112" s="6">
        <v>52</v>
      </c>
      <c r="W112">
        <v>3</v>
      </c>
      <c r="X112">
        <v>90</v>
      </c>
      <c r="Y112">
        <v>220</v>
      </c>
      <c r="Z112">
        <v>220</v>
      </c>
      <c r="AA112">
        <v>0</v>
      </c>
      <c r="AB112">
        <v>2445</v>
      </c>
      <c r="AC112">
        <v>455.16</v>
      </c>
      <c r="AD112">
        <v>0</v>
      </c>
      <c r="AE112">
        <v>872</v>
      </c>
      <c r="AF112">
        <v>872</v>
      </c>
      <c r="AG112">
        <v>0.81384049079754595</v>
      </c>
      <c r="AH112">
        <v>2132040</v>
      </c>
      <c r="AI112">
        <v>396899.52</v>
      </c>
      <c r="AJ112">
        <v>1735140.48</v>
      </c>
      <c r="AK112">
        <v>100135.20000000001</v>
      </c>
      <c r="AL112" s="4">
        <v>3.9636363636363634</v>
      </c>
      <c r="AM112">
        <f t="shared" si="1"/>
        <v>3.0275229357798166</v>
      </c>
      <c r="AN112" s="5">
        <v>72.666666666666671</v>
      </c>
      <c r="AO112" s="4">
        <v>0.69207000000000019</v>
      </c>
      <c r="AQ112">
        <v>0.5</v>
      </c>
    </row>
    <row r="113" spans="1:43" x14ac:dyDescent="0.25">
      <c r="A113">
        <v>112</v>
      </c>
      <c r="B113" t="s">
        <v>86</v>
      </c>
      <c r="C113" t="s">
        <v>44</v>
      </c>
      <c r="D113" t="s">
        <v>86</v>
      </c>
      <c r="E113" t="s">
        <v>198</v>
      </c>
      <c r="F113" t="s">
        <v>45</v>
      </c>
      <c r="G113" t="s">
        <v>45</v>
      </c>
      <c r="H113">
        <v>1</v>
      </c>
      <c r="I113">
        <v>1</v>
      </c>
      <c r="J113">
        <v>0.38942399999999999</v>
      </c>
      <c r="K113" s="6">
        <v>0</v>
      </c>
      <c r="L113" s="6">
        <v>6</v>
      </c>
      <c r="M113" s="6">
        <v>12</v>
      </c>
      <c r="N113" s="6">
        <v>6</v>
      </c>
      <c r="O113" s="6">
        <v>5</v>
      </c>
      <c r="P113" s="6">
        <v>16</v>
      </c>
      <c r="Q113" s="6">
        <v>39</v>
      </c>
      <c r="R113" s="6">
        <v>26</v>
      </c>
      <c r="S113" s="6">
        <v>2</v>
      </c>
      <c r="T113" s="6">
        <v>0</v>
      </c>
      <c r="U113" s="6">
        <v>0</v>
      </c>
      <c r="V113" s="6">
        <v>0</v>
      </c>
      <c r="W113">
        <v>1</v>
      </c>
      <c r="X113">
        <v>90</v>
      </c>
      <c r="Y113">
        <v>38</v>
      </c>
      <c r="Z113">
        <v>38</v>
      </c>
      <c r="AA113">
        <v>0</v>
      </c>
      <c r="AB113">
        <v>18659</v>
      </c>
      <c r="AC113">
        <v>7006.03</v>
      </c>
      <c r="AD113">
        <v>0</v>
      </c>
      <c r="AE113">
        <v>112</v>
      </c>
      <c r="AF113">
        <v>112</v>
      </c>
      <c r="AG113">
        <v>0.62452275041534921</v>
      </c>
      <c r="AH113">
        <v>2089808</v>
      </c>
      <c r="AI113">
        <v>784675.36</v>
      </c>
      <c r="AJ113">
        <v>1305132.6400000001</v>
      </c>
      <c r="AK113">
        <v>266229.14</v>
      </c>
      <c r="AL113" s="4">
        <v>2.9473684210526314</v>
      </c>
      <c r="AM113">
        <f t="shared" si="1"/>
        <v>4.0714285714285721</v>
      </c>
      <c r="AN113" s="5">
        <v>9.3333333333333339</v>
      </c>
      <c r="AO113" s="4">
        <v>7.1394399999999996</v>
      </c>
      <c r="AQ113">
        <v>0.5</v>
      </c>
    </row>
    <row r="114" spans="1:43" x14ac:dyDescent="0.25">
      <c r="A114">
        <v>113</v>
      </c>
      <c r="B114" t="s">
        <v>86</v>
      </c>
      <c r="C114" t="s">
        <v>44</v>
      </c>
      <c r="D114" t="s">
        <v>86</v>
      </c>
      <c r="E114" t="s">
        <v>199</v>
      </c>
      <c r="F114" t="s">
        <v>45</v>
      </c>
      <c r="G114" t="s">
        <v>45</v>
      </c>
      <c r="H114">
        <v>1</v>
      </c>
      <c r="I114">
        <v>1</v>
      </c>
      <c r="J114">
        <v>0.15372</v>
      </c>
      <c r="K114" s="6">
        <v>0</v>
      </c>
      <c r="L114" s="6">
        <v>11</v>
      </c>
      <c r="M114" s="6">
        <v>18</v>
      </c>
      <c r="N114" s="6">
        <v>0</v>
      </c>
      <c r="O114" s="6">
        <v>15</v>
      </c>
      <c r="P114" s="6">
        <v>17</v>
      </c>
      <c r="Q114" s="6">
        <v>25</v>
      </c>
      <c r="R114" s="6">
        <v>5</v>
      </c>
      <c r="S114" s="6">
        <v>1</v>
      </c>
      <c r="T114" s="6">
        <v>14</v>
      </c>
      <c r="U114" s="6">
        <v>0</v>
      </c>
      <c r="V114" s="6">
        <v>2</v>
      </c>
      <c r="W114">
        <v>1</v>
      </c>
      <c r="X114">
        <v>90</v>
      </c>
      <c r="Y114">
        <v>15</v>
      </c>
      <c r="Z114">
        <v>15</v>
      </c>
      <c r="AA114">
        <v>0</v>
      </c>
      <c r="AB114">
        <v>18659</v>
      </c>
      <c r="AC114">
        <v>6991.23</v>
      </c>
      <c r="AD114">
        <v>0</v>
      </c>
      <c r="AE114">
        <v>108</v>
      </c>
      <c r="AF114">
        <v>108</v>
      </c>
      <c r="AG114">
        <v>0.62531593332976043</v>
      </c>
      <c r="AH114">
        <v>2015172</v>
      </c>
      <c r="AI114">
        <v>755052.84</v>
      </c>
      <c r="AJ114">
        <v>1260119.1600000001</v>
      </c>
      <c r="AK114">
        <v>104868.45</v>
      </c>
      <c r="AL114" s="4">
        <v>7.2</v>
      </c>
      <c r="AM114">
        <f t="shared" si="1"/>
        <v>1.6666666666666665</v>
      </c>
      <c r="AN114" s="5">
        <v>9</v>
      </c>
      <c r="AO114" s="4">
        <v>2.8182</v>
      </c>
      <c r="AQ114">
        <v>0.5</v>
      </c>
    </row>
    <row r="115" spans="1:43" x14ac:dyDescent="0.25">
      <c r="A115">
        <v>114</v>
      </c>
      <c r="B115" t="s">
        <v>82</v>
      </c>
      <c r="C115" t="s">
        <v>44</v>
      </c>
      <c r="D115" t="s">
        <v>82</v>
      </c>
      <c r="E115" t="s">
        <v>200</v>
      </c>
      <c r="F115" t="s">
        <v>45</v>
      </c>
      <c r="G115" t="s">
        <v>45</v>
      </c>
      <c r="H115">
        <v>1</v>
      </c>
      <c r="I115">
        <v>1</v>
      </c>
      <c r="J115">
        <v>0.21806400000000001</v>
      </c>
      <c r="K115" s="6">
        <v>97</v>
      </c>
      <c r="L115" s="6">
        <v>63</v>
      </c>
      <c r="M115" s="6">
        <v>58</v>
      </c>
      <c r="N115" s="6">
        <v>52</v>
      </c>
      <c r="O115" s="6">
        <v>58</v>
      </c>
      <c r="P115" s="6">
        <v>47</v>
      </c>
      <c r="Q115" s="6">
        <v>40</v>
      </c>
      <c r="R115" s="6">
        <v>31</v>
      </c>
      <c r="S115" s="6">
        <v>45</v>
      </c>
      <c r="T115" s="6">
        <v>165</v>
      </c>
      <c r="U115" s="6">
        <v>93</v>
      </c>
      <c r="V115" s="6">
        <v>78</v>
      </c>
      <c r="W115">
        <v>1</v>
      </c>
      <c r="X115">
        <v>90</v>
      </c>
      <c r="Y115">
        <v>924</v>
      </c>
      <c r="Z115">
        <v>924</v>
      </c>
      <c r="AA115">
        <v>0</v>
      </c>
      <c r="AB115">
        <v>2377</v>
      </c>
      <c r="AC115">
        <v>780.27</v>
      </c>
      <c r="AD115">
        <v>0</v>
      </c>
      <c r="AE115">
        <v>827</v>
      </c>
      <c r="AF115">
        <v>827</v>
      </c>
      <c r="AG115">
        <v>0.67174169120740435</v>
      </c>
      <c r="AH115">
        <v>1965779</v>
      </c>
      <c r="AI115">
        <v>645283.29</v>
      </c>
      <c r="AJ115">
        <v>1320495.71</v>
      </c>
      <c r="AK115">
        <v>720969.48</v>
      </c>
      <c r="AL115" s="4">
        <v>0.89502164502164505</v>
      </c>
      <c r="AM115">
        <f t="shared" si="1"/>
        <v>13.407496977025392</v>
      </c>
      <c r="AN115" s="5">
        <v>68.916666666666671</v>
      </c>
      <c r="AO115" s="4">
        <v>2.7682800000000007</v>
      </c>
      <c r="AQ115">
        <v>0.5</v>
      </c>
    </row>
    <row r="116" spans="1:43" x14ac:dyDescent="0.25">
      <c r="A116">
        <v>115</v>
      </c>
      <c r="B116" t="s">
        <v>84</v>
      </c>
      <c r="C116" t="s">
        <v>44</v>
      </c>
      <c r="D116" t="s">
        <v>84</v>
      </c>
      <c r="E116" t="s">
        <v>201</v>
      </c>
      <c r="F116" t="s">
        <v>45</v>
      </c>
      <c r="G116" t="s">
        <v>45</v>
      </c>
      <c r="H116">
        <v>1</v>
      </c>
      <c r="I116">
        <v>1</v>
      </c>
      <c r="J116">
        <v>0.16161600000000001</v>
      </c>
      <c r="K116" s="6">
        <v>87</v>
      </c>
      <c r="L116" s="6">
        <v>29</v>
      </c>
      <c r="M116" s="6">
        <v>122</v>
      </c>
      <c r="N116" s="6">
        <v>115</v>
      </c>
      <c r="O116" s="6">
        <v>132</v>
      </c>
      <c r="P116" s="6">
        <v>34</v>
      </c>
      <c r="Q116" s="6">
        <v>34</v>
      </c>
      <c r="R116" s="6">
        <v>21</v>
      </c>
      <c r="S116" s="6">
        <v>10</v>
      </c>
      <c r="T116" s="6">
        <v>25</v>
      </c>
      <c r="U116" s="6">
        <v>20</v>
      </c>
      <c r="V116" s="6">
        <v>0</v>
      </c>
      <c r="W116">
        <v>2</v>
      </c>
      <c r="X116">
        <v>90</v>
      </c>
      <c r="Y116">
        <v>518</v>
      </c>
      <c r="Z116">
        <v>518</v>
      </c>
      <c r="AA116">
        <v>0</v>
      </c>
      <c r="AB116">
        <v>3080</v>
      </c>
      <c r="AC116">
        <v>1224.8900000000001</v>
      </c>
      <c r="AD116">
        <v>0</v>
      </c>
      <c r="AE116">
        <v>629</v>
      </c>
      <c r="AF116">
        <v>629</v>
      </c>
      <c r="AG116">
        <v>0.60230844155844154</v>
      </c>
      <c r="AH116">
        <v>1937320</v>
      </c>
      <c r="AI116">
        <v>770455.81</v>
      </c>
      <c r="AJ116">
        <v>1166864.19</v>
      </c>
      <c r="AK116">
        <v>634493.02</v>
      </c>
      <c r="AL116" s="4">
        <v>1.2142857142857144</v>
      </c>
      <c r="AM116">
        <f t="shared" si="1"/>
        <v>9.8823529411764692</v>
      </c>
      <c r="AN116" s="5">
        <v>52.416666666666664</v>
      </c>
      <c r="AO116" s="4">
        <v>0.49368000000000001</v>
      </c>
      <c r="AQ116">
        <v>0.5</v>
      </c>
    </row>
    <row r="117" spans="1:43" x14ac:dyDescent="0.25">
      <c r="A117">
        <v>116</v>
      </c>
      <c r="B117" t="s">
        <v>84</v>
      </c>
      <c r="C117" t="s">
        <v>44</v>
      </c>
      <c r="D117" t="s">
        <v>84</v>
      </c>
      <c r="E117" t="s">
        <v>202</v>
      </c>
      <c r="F117" t="s">
        <v>45</v>
      </c>
      <c r="G117" t="s">
        <v>45</v>
      </c>
      <c r="H117">
        <v>1</v>
      </c>
      <c r="I117">
        <v>1</v>
      </c>
      <c r="J117">
        <v>4.3740000000000001E-2</v>
      </c>
      <c r="K117" s="6">
        <v>77</v>
      </c>
      <c r="L117" s="6">
        <v>23</v>
      </c>
      <c r="M117" s="6">
        <v>106</v>
      </c>
      <c r="N117" s="6">
        <v>18</v>
      </c>
      <c r="O117" s="6">
        <v>23</v>
      </c>
      <c r="P117" s="6">
        <v>0</v>
      </c>
      <c r="Q117" s="6">
        <v>77</v>
      </c>
      <c r="R117" s="6">
        <v>54</v>
      </c>
      <c r="S117" s="6">
        <v>0</v>
      </c>
      <c r="T117" s="6">
        <v>6</v>
      </c>
      <c r="U117" s="6">
        <v>10</v>
      </c>
      <c r="V117" s="6">
        <v>78</v>
      </c>
      <c r="W117">
        <v>0</v>
      </c>
      <c r="X117">
        <v>90</v>
      </c>
      <c r="Y117">
        <v>90</v>
      </c>
      <c r="Z117">
        <v>90</v>
      </c>
      <c r="AA117">
        <v>0</v>
      </c>
      <c r="AB117">
        <v>3902</v>
      </c>
      <c r="AC117">
        <v>3516.08</v>
      </c>
      <c r="AD117">
        <v>0</v>
      </c>
      <c r="AE117">
        <v>472</v>
      </c>
      <c r="AF117">
        <v>472</v>
      </c>
      <c r="AG117">
        <v>9.8903126601742719E-2</v>
      </c>
      <c r="AH117">
        <v>1841744</v>
      </c>
      <c r="AI117">
        <v>1659589.76</v>
      </c>
      <c r="AJ117">
        <v>182154.23999999999</v>
      </c>
      <c r="AK117">
        <v>316447.2</v>
      </c>
      <c r="AL117" s="4">
        <v>5.2444444444444445</v>
      </c>
      <c r="AM117">
        <f t="shared" si="1"/>
        <v>2.2881355932203391</v>
      </c>
      <c r="AN117" s="5">
        <v>39.333333333333336</v>
      </c>
      <c r="AO117" s="4">
        <v>0.15147000000000005</v>
      </c>
      <c r="AQ117">
        <v>0.5</v>
      </c>
    </row>
    <row r="118" spans="1:43" x14ac:dyDescent="0.25">
      <c r="A118">
        <v>117</v>
      </c>
      <c r="B118" t="s">
        <v>86</v>
      </c>
      <c r="C118" t="s">
        <v>44</v>
      </c>
      <c r="D118" t="s">
        <v>86</v>
      </c>
      <c r="E118" t="s">
        <v>203</v>
      </c>
      <c r="F118" t="s">
        <v>45</v>
      </c>
      <c r="G118" t="s">
        <v>45</v>
      </c>
      <c r="H118">
        <v>1</v>
      </c>
      <c r="I118">
        <v>1</v>
      </c>
      <c r="J118">
        <v>7.7759999999999996E-2</v>
      </c>
      <c r="K118" s="6">
        <v>0</v>
      </c>
      <c r="L118" s="6">
        <v>0</v>
      </c>
      <c r="M118" s="6">
        <v>52</v>
      </c>
      <c r="N118" s="6">
        <v>0</v>
      </c>
      <c r="O118" s="6">
        <v>0</v>
      </c>
      <c r="P118" s="6">
        <v>23</v>
      </c>
      <c r="Q118" s="6">
        <v>20</v>
      </c>
      <c r="R118" s="6">
        <v>1</v>
      </c>
      <c r="S118" s="6">
        <v>0</v>
      </c>
      <c r="T118" s="6">
        <v>0</v>
      </c>
      <c r="U118" s="6">
        <v>0</v>
      </c>
      <c r="V118" s="6">
        <v>32</v>
      </c>
      <c r="W118">
        <v>1</v>
      </c>
      <c r="X118">
        <v>90</v>
      </c>
      <c r="Y118">
        <v>36</v>
      </c>
      <c r="Z118">
        <v>36</v>
      </c>
      <c r="AA118">
        <v>0</v>
      </c>
      <c r="AB118">
        <v>14039</v>
      </c>
      <c r="AC118">
        <v>3507.61</v>
      </c>
      <c r="AD118">
        <v>0</v>
      </c>
      <c r="AE118">
        <v>128</v>
      </c>
      <c r="AF118">
        <v>128</v>
      </c>
      <c r="AG118">
        <v>0.69228577534012392</v>
      </c>
      <c r="AH118">
        <v>1796992</v>
      </c>
      <c r="AI118">
        <v>448974.08000000002</v>
      </c>
      <c r="AJ118">
        <v>1348017.92</v>
      </c>
      <c r="AK118">
        <v>126273.96</v>
      </c>
      <c r="AL118" s="4">
        <v>3.5555555555555554</v>
      </c>
      <c r="AM118">
        <f t="shared" si="1"/>
        <v>3.375</v>
      </c>
      <c r="AN118" s="5">
        <v>10.666666666666666</v>
      </c>
      <c r="AO118" s="4">
        <v>7.4400000000000008E-2</v>
      </c>
      <c r="AQ118">
        <v>0.5</v>
      </c>
    </row>
    <row r="119" spans="1:43" x14ac:dyDescent="0.25">
      <c r="A119">
        <v>118</v>
      </c>
      <c r="B119" t="s">
        <v>82</v>
      </c>
      <c r="C119" t="s">
        <v>44</v>
      </c>
      <c r="D119" t="s">
        <v>82</v>
      </c>
      <c r="E119" t="s">
        <v>204</v>
      </c>
      <c r="F119" t="s">
        <v>45</v>
      </c>
      <c r="G119" t="s">
        <v>45</v>
      </c>
      <c r="H119">
        <v>1</v>
      </c>
      <c r="I119">
        <v>1</v>
      </c>
      <c r="J119">
        <v>2.9027999999999998E-2</v>
      </c>
      <c r="K119" s="6">
        <v>178</v>
      </c>
      <c r="L119" s="6">
        <v>60</v>
      </c>
      <c r="M119" s="6">
        <v>26</v>
      </c>
      <c r="N119" s="6">
        <v>5</v>
      </c>
      <c r="O119" s="6">
        <v>0</v>
      </c>
      <c r="P119" s="6">
        <v>0</v>
      </c>
      <c r="Q119" s="6">
        <v>66</v>
      </c>
      <c r="R119" s="6">
        <v>102</v>
      </c>
      <c r="S119" s="6">
        <v>54</v>
      </c>
      <c r="T119" s="6">
        <v>63</v>
      </c>
      <c r="U119" s="6">
        <v>99</v>
      </c>
      <c r="V119" s="6">
        <v>51</v>
      </c>
      <c r="W119">
        <v>3</v>
      </c>
      <c r="X119">
        <v>90</v>
      </c>
      <c r="Y119">
        <v>164</v>
      </c>
      <c r="Z119">
        <v>164</v>
      </c>
      <c r="AA119">
        <v>0</v>
      </c>
      <c r="AB119">
        <v>2445</v>
      </c>
      <c r="AC119">
        <v>524.61</v>
      </c>
      <c r="AD119">
        <v>0</v>
      </c>
      <c r="AE119">
        <v>704</v>
      </c>
      <c r="AF119">
        <v>704</v>
      </c>
      <c r="AG119">
        <v>0.78543558282208581</v>
      </c>
      <c r="AH119">
        <v>1721280</v>
      </c>
      <c r="AI119">
        <v>369325.44</v>
      </c>
      <c r="AJ119">
        <v>1351954.56</v>
      </c>
      <c r="AK119">
        <v>86036.040000000008</v>
      </c>
      <c r="AL119" s="4">
        <v>4.2926829268292677</v>
      </c>
      <c r="AM119">
        <f t="shared" si="1"/>
        <v>2.7954545454545459</v>
      </c>
      <c r="AN119" s="5">
        <v>58.666666666666664</v>
      </c>
      <c r="AO119" s="4">
        <v>0.57672500000000015</v>
      </c>
      <c r="AQ119">
        <v>0.5</v>
      </c>
    </row>
    <row r="120" spans="1:43" x14ac:dyDescent="0.25">
      <c r="A120">
        <v>119</v>
      </c>
      <c r="B120" t="s">
        <v>86</v>
      </c>
      <c r="C120" t="s">
        <v>44</v>
      </c>
      <c r="D120" t="s">
        <v>86</v>
      </c>
      <c r="E120" t="s">
        <v>205</v>
      </c>
      <c r="F120" t="s">
        <v>45</v>
      </c>
      <c r="G120" t="s">
        <v>45</v>
      </c>
      <c r="H120">
        <v>1</v>
      </c>
      <c r="I120">
        <v>1</v>
      </c>
      <c r="J120">
        <v>6.2640000000000001E-2</v>
      </c>
      <c r="K120" s="6">
        <v>0</v>
      </c>
      <c r="L120" s="6">
        <v>0</v>
      </c>
      <c r="M120" s="6">
        <v>0</v>
      </c>
      <c r="N120" s="6">
        <v>0</v>
      </c>
      <c r="O120" s="6">
        <v>15</v>
      </c>
      <c r="P120" s="6">
        <v>22</v>
      </c>
      <c r="Q120" s="6">
        <v>20</v>
      </c>
      <c r="R120" s="6">
        <v>0</v>
      </c>
      <c r="S120" s="6">
        <v>0</v>
      </c>
      <c r="T120" s="6">
        <v>25</v>
      </c>
      <c r="U120" s="6">
        <v>2</v>
      </c>
      <c r="V120" s="6">
        <v>32</v>
      </c>
      <c r="W120">
        <v>1</v>
      </c>
      <c r="X120">
        <v>90</v>
      </c>
      <c r="Y120">
        <v>29</v>
      </c>
      <c r="Z120">
        <v>29</v>
      </c>
      <c r="AA120">
        <v>0</v>
      </c>
      <c r="AB120">
        <v>14039</v>
      </c>
      <c r="AC120">
        <v>3507.61</v>
      </c>
      <c r="AD120">
        <v>0</v>
      </c>
      <c r="AE120">
        <v>116</v>
      </c>
      <c r="AF120">
        <v>116</v>
      </c>
      <c r="AG120">
        <v>0.69228577534012392</v>
      </c>
      <c r="AH120">
        <v>1628524</v>
      </c>
      <c r="AI120">
        <v>406882.76</v>
      </c>
      <c r="AJ120">
        <v>1221641.24</v>
      </c>
      <c r="AK120">
        <v>101720.69</v>
      </c>
      <c r="AL120" s="4">
        <v>4</v>
      </c>
      <c r="AM120">
        <f t="shared" si="1"/>
        <v>3</v>
      </c>
      <c r="AN120" s="5">
        <v>9.6666666666666661</v>
      </c>
      <c r="AO120" s="4">
        <v>3.7200000000000004E-2</v>
      </c>
      <c r="AQ120">
        <v>0.5</v>
      </c>
    </row>
    <row r="121" spans="1:43" x14ac:dyDescent="0.25">
      <c r="A121">
        <v>120</v>
      </c>
      <c r="B121" t="s">
        <v>82</v>
      </c>
      <c r="C121" t="s">
        <v>44</v>
      </c>
      <c r="D121" t="s">
        <v>82</v>
      </c>
      <c r="E121" t="s">
        <v>206</v>
      </c>
      <c r="F121" t="s">
        <v>45</v>
      </c>
      <c r="G121" t="s">
        <v>45</v>
      </c>
      <c r="H121">
        <v>1</v>
      </c>
      <c r="I121">
        <v>1</v>
      </c>
      <c r="J121">
        <v>0.79738500000000023</v>
      </c>
      <c r="K121" s="6">
        <v>73</v>
      </c>
      <c r="L121" s="6">
        <v>196</v>
      </c>
      <c r="M121" s="6">
        <v>72</v>
      </c>
      <c r="N121" s="6">
        <v>135</v>
      </c>
      <c r="O121" s="6">
        <v>30</v>
      </c>
      <c r="P121" s="6">
        <v>65</v>
      </c>
      <c r="Q121" s="6">
        <v>80</v>
      </c>
      <c r="R121" s="6">
        <v>45</v>
      </c>
      <c r="S121" s="6">
        <v>83</v>
      </c>
      <c r="T121" s="6">
        <v>38</v>
      </c>
      <c r="U121" s="6">
        <v>80</v>
      </c>
      <c r="V121" s="6">
        <v>175</v>
      </c>
      <c r="W121">
        <v>2</v>
      </c>
      <c r="X121">
        <v>90</v>
      </c>
      <c r="Y121">
        <v>2703</v>
      </c>
      <c r="Z121">
        <v>2703</v>
      </c>
      <c r="AA121">
        <v>0</v>
      </c>
      <c r="AB121">
        <v>1465</v>
      </c>
      <c r="AC121">
        <v>465.01</v>
      </c>
      <c r="AD121">
        <v>0</v>
      </c>
      <c r="AE121">
        <v>1072</v>
      </c>
      <c r="AF121">
        <v>1072</v>
      </c>
      <c r="AG121">
        <v>0.68258703071672355</v>
      </c>
      <c r="AH121">
        <v>1570480</v>
      </c>
      <c r="AI121">
        <v>498490.72</v>
      </c>
      <c r="AJ121">
        <v>1071989.28</v>
      </c>
      <c r="AK121">
        <v>1256922.03</v>
      </c>
      <c r="AL121" s="4">
        <v>0.39659637439881612</v>
      </c>
      <c r="AM121">
        <f t="shared" si="1"/>
        <v>30.257462686567166</v>
      </c>
      <c r="AN121" s="5">
        <v>89.333333333333329</v>
      </c>
      <c r="AO121" s="4">
        <v>7.8434600000000021</v>
      </c>
      <c r="AQ121">
        <v>0.5</v>
      </c>
    </row>
    <row r="122" spans="1:43" x14ac:dyDescent="0.25">
      <c r="A122">
        <v>121</v>
      </c>
      <c r="B122" t="s">
        <v>84</v>
      </c>
      <c r="C122" t="s">
        <v>44</v>
      </c>
      <c r="D122" t="s">
        <v>84</v>
      </c>
      <c r="E122" t="s">
        <v>207</v>
      </c>
      <c r="F122" t="s">
        <v>45</v>
      </c>
      <c r="G122" t="s">
        <v>45</v>
      </c>
      <c r="H122">
        <v>1</v>
      </c>
      <c r="I122">
        <v>1</v>
      </c>
      <c r="J122">
        <v>8.2620000000000002E-3</v>
      </c>
      <c r="K122" s="6">
        <v>4</v>
      </c>
      <c r="L122" s="6">
        <v>0</v>
      </c>
      <c r="M122" s="6">
        <v>18</v>
      </c>
      <c r="N122" s="6">
        <v>0</v>
      </c>
      <c r="O122" s="6">
        <v>26</v>
      </c>
      <c r="P122" s="6">
        <v>2</v>
      </c>
      <c r="Q122" s="6">
        <v>54</v>
      </c>
      <c r="R122" s="6">
        <v>22</v>
      </c>
      <c r="S122" s="6">
        <v>104</v>
      </c>
      <c r="T122" s="6">
        <v>22</v>
      </c>
      <c r="U122" s="6">
        <v>53</v>
      </c>
      <c r="V122" s="6">
        <v>17</v>
      </c>
      <c r="W122">
        <v>0</v>
      </c>
      <c r="X122">
        <v>90</v>
      </c>
      <c r="Y122">
        <v>17</v>
      </c>
      <c r="Z122">
        <v>17</v>
      </c>
      <c r="AA122">
        <v>0</v>
      </c>
      <c r="AB122">
        <v>4678</v>
      </c>
      <c r="AC122">
        <v>2061.04</v>
      </c>
      <c r="AD122">
        <v>0</v>
      </c>
      <c r="AE122">
        <v>322</v>
      </c>
      <c r="AF122">
        <v>322</v>
      </c>
      <c r="AG122">
        <v>0.55941855493800774</v>
      </c>
      <c r="AH122">
        <v>1506316</v>
      </c>
      <c r="AI122">
        <v>663654.88</v>
      </c>
      <c r="AJ122">
        <v>842661.12</v>
      </c>
      <c r="AK122">
        <v>35037.68</v>
      </c>
      <c r="AL122" s="4">
        <v>18.941176470588236</v>
      </c>
      <c r="AM122">
        <f t="shared" si="1"/>
        <v>0.63354037267080743</v>
      </c>
      <c r="AN122" s="5">
        <v>26.833333333333332</v>
      </c>
      <c r="AO122" s="4">
        <v>5.0490000000000014E-2</v>
      </c>
      <c r="AQ122">
        <v>0.5</v>
      </c>
    </row>
    <row r="123" spans="1:43" x14ac:dyDescent="0.25">
      <c r="A123">
        <v>122</v>
      </c>
      <c r="B123" t="s">
        <v>86</v>
      </c>
      <c r="C123" t="s">
        <v>44</v>
      </c>
      <c r="D123" t="s">
        <v>86</v>
      </c>
      <c r="E123" t="s">
        <v>208</v>
      </c>
      <c r="F123" t="s">
        <v>45</v>
      </c>
      <c r="G123" t="s">
        <v>45</v>
      </c>
      <c r="H123">
        <v>1</v>
      </c>
      <c r="I123">
        <v>1</v>
      </c>
      <c r="J123">
        <v>0</v>
      </c>
      <c r="K123" s="6">
        <v>0</v>
      </c>
      <c r="L123" s="6">
        <v>0</v>
      </c>
      <c r="M123" s="6">
        <v>0</v>
      </c>
      <c r="N123" s="6">
        <v>10</v>
      </c>
      <c r="O123" s="6">
        <v>8</v>
      </c>
      <c r="P123" s="6">
        <v>0</v>
      </c>
      <c r="Q123" s="6">
        <v>20</v>
      </c>
      <c r="R123" s="6">
        <v>6</v>
      </c>
      <c r="S123" s="6">
        <v>8</v>
      </c>
      <c r="T123" s="6">
        <v>15</v>
      </c>
      <c r="U123" s="6">
        <v>0</v>
      </c>
      <c r="V123" s="6">
        <v>38</v>
      </c>
      <c r="W123">
        <v>0</v>
      </c>
      <c r="X123">
        <v>90</v>
      </c>
      <c r="Y123">
        <v>0</v>
      </c>
      <c r="Z123">
        <v>0</v>
      </c>
      <c r="AA123">
        <v>0</v>
      </c>
      <c r="AB123">
        <v>14039</v>
      </c>
      <c r="AC123">
        <v>3507.61</v>
      </c>
      <c r="AD123">
        <v>0</v>
      </c>
      <c r="AE123">
        <v>105</v>
      </c>
      <c r="AF123">
        <v>105</v>
      </c>
      <c r="AG123">
        <v>0.69228577534012392</v>
      </c>
      <c r="AH123">
        <v>1474095</v>
      </c>
      <c r="AI123">
        <v>368299.05</v>
      </c>
      <c r="AJ123">
        <v>1105795.95</v>
      </c>
      <c r="AK123">
        <v>0</v>
      </c>
      <c r="AL123" s="4">
        <v>0</v>
      </c>
      <c r="AM123">
        <v>0</v>
      </c>
      <c r="AN123" s="5">
        <v>8.75</v>
      </c>
      <c r="AO123" s="4">
        <v>0</v>
      </c>
      <c r="AQ123">
        <v>0.5</v>
      </c>
    </row>
    <row r="124" spans="1:43" x14ac:dyDescent="0.25">
      <c r="A124">
        <v>123</v>
      </c>
      <c r="B124" t="s">
        <v>82</v>
      </c>
      <c r="C124" t="s">
        <v>44</v>
      </c>
      <c r="D124" t="s">
        <v>82</v>
      </c>
      <c r="E124" t="s">
        <v>209</v>
      </c>
      <c r="F124" t="s">
        <v>45</v>
      </c>
      <c r="G124" t="s">
        <v>45</v>
      </c>
      <c r="H124">
        <v>1</v>
      </c>
      <c r="I124">
        <v>1</v>
      </c>
      <c r="J124">
        <v>0.14938800000000002</v>
      </c>
      <c r="K124" s="6">
        <v>71</v>
      </c>
      <c r="L124" s="6">
        <v>60</v>
      </c>
      <c r="M124" s="6">
        <v>33</v>
      </c>
      <c r="N124" s="6">
        <v>46</v>
      </c>
      <c r="O124" s="6">
        <v>52</v>
      </c>
      <c r="P124" s="6">
        <v>30</v>
      </c>
      <c r="Q124" s="6">
        <v>50</v>
      </c>
      <c r="R124" s="6">
        <v>84</v>
      </c>
      <c r="S124" s="6">
        <v>35</v>
      </c>
      <c r="T124" s="6">
        <v>54</v>
      </c>
      <c r="U124" s="6">
        <v>42</v>
      </c>
      <c r="V124" s="6">
        <v>29</v>
      </c>
      <c r="W124">
        <v>2</v>
      </c>
      <c r="X124">
        <v>90</v>
      </c>
      <c r="Y124">
        <v>633</v>
      </c>
      <c r="Z124">
        <v>633</v>
      </c>
      <c r="AA124">
        <v>0</v>
      </c>
      <c r="AB124">
        <v>2443</v>
      </c>
      <c r="AC124">
        <v>734.43</v>
      </c>
      <c r="AD124">
        <v>0</v>
      </c>
      <c r="AE124">
        <v>586</v>
      </c>
      <c r="AF124">
        <v>586</v>
      </c>
      <c r="AG124">
        <v>0.6993737208350389</v>
      </c>
      <c r="AH124">
        <v>1431598</v>
      </c>
      <c r="AI124">
        <v>430375.98</v>
      </c>
      <c r="AJ124">
        <v>1001222.02</v>
      </c>
      <c r="AK124">
        <v>464894.18999999994</v>
      </c>
      <c r="AL124" s="4">
        <v>0.92575039494470779</v>
      </c>
      <c r="AM124">
        <f t="shared" si="1"/>
        <v>12.962457337883958</v>
      </c>
      <c r="AN124" s="5">
        <v>48.833333333333336</v>
      </c>
      <c r="AO124" s="4">
        <v>1.8455200000000005</v>
      </c>
      <c r="AQ124">
        <v>0.5</v>
      </c>
    </row>
    <row r="125" spans="1:43" x14ac:dyDescent="0.25">
      <c r="A125">
        <v>124</v>
      </c>
      <c r="B125" t="s">
        <v>86</v>
      </c>
      <c r="C125" t="s">
        <v>44</v>
      </c>
      <c r="D125" t="s">
        <v>86</v>
      </c>
      <c r="E125" t="s">
        <v>210</v>
      </c>
      <c r="F125" t="s">
        <v>45</v>
      </c>
      <c r="G125" t="s">
        <v>45</v>
      </c>
      <c r="H125">
        <v>1</v>
      </c>
      <c r="I125">
        <v>1</v>
      </c>
      <c r="J125">
        <v>0.35249999999999998</v>
      </c>
      <c r="K125" s="6">
        <v>68</v>
      </c>
      <c r="L125" s="6">
        <v>0</v>
      </c>
      <c r="M125" s="6">
        <v>141</v>
      </c>
      <c r="N125" s="6">
        <v>21</v>
      </c>
      <c r="O125" s="6">
        <v>0</v>
      </c>
      <c r="P125" s="6">
        <v>0</v>
      </c>
      <c r="Q125" s="6">
        <v>12</v>
      </c>
      <c r="R125" s="6">
        <v>0</v>
      </c>
      <c r="S125" s="6">
        <v>0</v>
      </c>
      <c r="T125" s="6">
        <v>4</v>
      </c>
      <c r="U125" s="6">
        <v>0</v>
      </c>
      <c r="V125" s="6">
        <v>0</v>
      </c>
      <c r="W125">
        <v>0</v>
      </c>
      <c r="X125">
        <v>90</v>
      </c>
      <c r="Y125">
        <v>47</v>
      </c>
      <c r="Z125">
        <v>47</v>
      </c>
      <c r="AA125">
        <v>0</v>
      </c>
      <c r="AB125">
        <v>5721.01</v>
      </c>
      <c r="AC125">
        <v>1564.34</v>
      </c>
      <c r="AD125">
        <v>0</v>
      </c>
      <c r="AE125">
        <v>246</v>
      </c>
      <c r="AF125">
        <v>246</v>
      </c>
      <c r="AG125">
        <v>0.72656226785130595</v>
      </c>
      <c r="AH125">
        <v>1407368.46</v>
      </c>
      <c r="AI125">
        <v>384827.63999999996</v>
      </c>
      <c r="AJ125">
        <v>1022540.8200000001</v>
      </c>
      <c r="AK125">
        <v>73523.98</v>
      </c>
      <c r="AL125" s="4">
        <v>5.2340425531914887</v>
      </c>
      <c r="AM125">
        <f t="shared" si="1"/>
        <v>2.2926829268292686</v>
      </c>
      <c r="AN125" s="5">
        <v>20.5</v>
      </c>
      <c r="AO125" s="4">
        <v>0.33</v>
      </c>
      <c r="AQ125">
        <v>0.5</v>
      </c>
    </row>
    <row r="126" spans="1:43" x14ac:dyDescent="0.25">
      <c r="A126">
        <v>125</v>
      </c>
      <c r="B126" t="s">
        <v>82</v>
      </c>
      <c r="C126" t="s">
        <v>44</v>
      </c>
      <c r="D126" t="s">
        <v>82</v>
      </c>
      <c r="E126" t="s">
        <v>211</v>
      </c>
      <c r="F126" t="s">
        <v>45</v>
      </c>
      <c r="G126" t="s">
        <v>45</v>
      </c>
      <c r="H126">
        <v>1</v>
      </c>
      <c r="I126">
        <v>1</v>
      </c>
      <c r="J126">
        <v>9.3158050000000028</v>
      </c>
      <c r="K126" s="6">
        <v>60</v>
      </c>
      <c r="L126" s="6">
        <v>205</v>
      </c>
      <c r="M126" s="6">
        <v>73</v>
      </c>
      <c r="N126" s="6">
        <v>91</v>
      </c>
      <c r="O126" s="6">
        <v>16</v>
      </c>
      <c r="P126" s="6">
        <v>58</v>
      </c>
      <c r="Q126" s="6">
        <v>29</v>
      </c>
      <c r="R126" s="6">
        <v>56</v>
      </c>
      <c r="S126" s="6">
        <v>34</v>
      </c>
      <c r="T126" s="6">
        <v>26</v>
      </c>
      <c r="U126" s="6">
        <v>99</v>
      </c>
      <c r="V126" s="6">
        <v>145</v>
      </c>
      <c r="W126">
        <v>13</v>
      </c>
      <c r="X126">
        <v>90</v>
      </c>
      <c r="Y126">
        <v>31579</v>
      </c>
      <c r="Z126">
        <v>31579</v>
      </c>
      <c r="AA126">
        <v>0</v>
      </c>
      <c r="AB126">
        <v>1465</v>
      </c>
      <c r="AC126">
        <v>540.66</v>
      </c>
      <c r="AD126">
        <v>0</v>
      </c>
      <c r="AE126">
        <v>892</v>
      </c>
      <c r="AF126">
        <v>892</v>
      </c>
      <c r="AG126">
        <v>0.63094880546075083</v>
      </c>
      <c r="AH126">
        <v>1306780</v>
      </c>
      <c r="AI126">
        <v>482268.72</v>
      </c>
      <c r="AJ126">
        <v>824511.28</v>
      </c>
      <c r="AK126">
        <v>17073502.140000001</v>
      </c>
      <c r="AL126" s="4">
        <v>2.8246619588967348E-2</v>
      </c>
      <c r="AM126">
        <f t="shared" si="1"/>
        <v>424.8295964125561</v>
      </c>
      <c r="AN126" s="5">
        <v>74.333333333333329</v>
      </c>
      <c r="AO126" s="4">
        <v>91.122550000000018</v>
      </c>
      <c r="AQ126">
        <v>0.5</v>
      </c>
    </row>
    <row r="127" spans="1:43" x14ac:dyDescent="0.25">
      <c r="A127">
        <v>126</v>
      </c>
      <c r="B127" t="s">
        <v>82</v>
      </c>
      <c r="C127" t="s">
        <v>44</v>
      </c>
      <c r="D127" t="s">
        <v>82</v>
      </c>
      <c r="E127" t="s">
        <v>212</v>
      </c>
      <c r="F127" t="s">
        <v>45</v>
      </c>
      <c r="G127" t="s">
        <v>45</v>
      </c>
      <c r="H127">
        <v>1</v>
      </c>
      <c r="I127">
        <v>1</v>
      </c>
      <c r="J127">
        <v>0</v>
      </c>
      <c r="K127" s="6">
        <v>67</v>
      </c>
      <c r="L127" s="6">
        <v>16</v>
      </c>
      <c r="M127" s="6">
        <v>-2</v>
      </c>
      <c r="N127" s="6">
        <v>-3</v>
      </c>
      <c r="O127" s="6">
        <v>97</v>
      </c>
      <c r="P127" s="6">
        <v>30</v>
      </c>
      <c r="Q127" s="6">
        <v>121</v>
      </c>
      <c r="R127" s="6">
        <v>0</v>
      </c>
      <c r="S127" s="6">
        <v>33</v>
      </c>
      <c r="T127" s="6">
        <v>49</v>
      </c>
      <c r="U127" s="6">
        <v>85</v>
      </c>
      <c r="V127" s="6">
        <v>37</v>
      </c>
      <c r="W127">
        <v>0</v>
      </c>
      <c r="X127">
        <v>90</v>
      </c>
      <c r="Y127">
        <v>0</v>
      </c>
      <c r="Z127">
        <v>0</v>
      </c>
      <c r="AA127">
        <v>0</v>
      </c>
      <c r="AB127">
        <v>2443</v>
      </c>
      <c r="AC127">
        <v>564.17999999999995</v>
      </c>
      <c r="AD127">
        <v>0</v>
      </c>
      <c r="AE127">
        <v>530</v>
      </c>
      <c r="AF127">
        <v>530</v>
      </c>
      <c r="AG127">
        <v>0.76906262791649616</v>
      </c>
      <c r="AH127">
        <v>1294790</v>
      </c>
      <c r="AI127">
        <v>299015.39999999997</v>
      </c>
      <c r="AJ127">
        <v>995774.60000000009</v>
      </c>
      <c r="AK127">
        <v>0</v>
      </c>
      <c r="AL127" s="4">
        <v>0</v>
      </c>
      <c r="AM127">
        <v>0</v>
      </c>
      <c r="AN127" s="5">
        <v>44.166666666666664</v>
      </c>
      <c r="AO127" s="4">
        <v>0</v>
      </c>
      <c r="AQ127">
        <v>0.5</v>
      </c>
    </row>
    <row r="128" spans="1:43" x14ac:dyDescent="0.25">
      <c r="A128">
        <v>127</v>
      </c>
      <c r="B128" t="s">
        <v>84</v>
      </c>
      <c r="C128" t="s">
        <v>44</v>
      </c>
      <c r="D128" t="s">
        <v>84</v>
      </c>
      <c r="E128" t="s">
        <v>213</v>
      </c>
      <c r="F128" t="s">
        <v>45</v>
      </c>
      <c r="G128" t="s">
        <v>45</v>
      </c>
      <c r="H128">
        <v>1</v>
      </c>
      <c r="I128">
        <v>1</v>
      </c>
      <c r="J128">
        <v>0.694824</v>
      </c>
      <c r="K128" s="6">
        <v>116</v>
      </c>
      <c r="L128" s="6">
        <v>4</v>
      </c>
      <c r="M128" s="6">
        <v>40</v>
      </c>
      <c r="N128" s="6">
        <v>14</v>
      </c>
      <c r="O128" s="6">
        <v>85</v>
      </c>
      <c r="P128" s="6">
        <v>8</v>
      </c>
      <c r="Q128" s="6">
        <v>24</v>
      </c>
      <c r="R128" s="6">
        <v>35</v>
      </c>
      <c r="S128" s="6">
        <v>30</v>
      </c>
      <c r="T128" s="6">
        <v>5</v>
      </c>
      <c r="U128" s="6">
        <v>21</v>
      </c>
      <c r="V128" s="6">
        <v>20</v>
      </c>
      <c r="W128">
        <v>5</v>
      </c>
      <c r="X128">
        <v>90</v>
      </c>
      <c r="Y128">
        <v>2227</v>
      </c>
      <c r="Z128">
        <v>2227</v>
      </c>
      <c r="AA128">
        <v>0</v>
      </c>
      <c r="AB128">
        <v>3080</v>
      </c>
      <c r="AC128">
        <v>863.15</v>
      </c>
      <c r="AD128">
        <v>0</v>
      </c>
      <c r="AE128">
        <v>402</v>
      </c>
      <c r="AF128">
        <v>402</v>
      </c>
      <c r="AG128">
        <v>0.71975649350649351</v>
      </c>
      <c r="AH128">
        <v>1238160</v>
      </c>
      <c r="AI128">
        <v>346986.3</v>
      </c>
      <c r="AJ128">
        <v>891173.7</v>
      </c>
      <c r="AK128">
        <v>1922235.05</v>
      </c>
      <c r="AL128" s="4">
        <v>0.18051189941625503</v>
      </c>
      <c r="AM128">
        <f t="shared" si="1"/>
        <v>66.477611940298516</v>
      </c>
      <c r="AN128" s="5">
        <v>33.5</v>
      </c>
      <c r="AO128" s="4">
        <v>2.51328</v>
      </c>
      <c r="AQ128">
        <v>0.5</v>
      </c>
    </row>
    <row r="129" spans="1:43" x14ac:dyDescent="0.25">
      <c r="A129">
        <v>128</v>
      </c>
      <c r="B129" t="s">
        <v>86</v>
      </c>
      <c r="C129" t="s">
        <v>44</v>
      </c>
      <c r="D129" t="s">
        <v>86</v>
      </c>
      <c r="E129" t="s">
        <v>214</v>
      </c>
      <c r="F129" t="s">
        <v>45</v>
      </c>
      <c r="G129" t="s">
        <v>45</v>
      </c>
      <c r="H129">
        <v>1</v>
      </c>
      <c r="I129">
        <v>1</v>
      </c>
      <c r="J129">
        <v>0.51749999999999996</v>
      </c>
      <c r="K129" s="6">
        <v>1</v>
      </c>
      <c r="L129" s="6">
        <v>0</v>
      </c>
      <c r="M129" s="6">
        <v>16</v>
      </c>
      <c r="N129" s="6">
        <v>0</v>
      </c>
      <c r="O129" s="6">
        <v>0</v>
      </c>
      <c r="P129" s="6">
        <v>0</v>
      </c>
      <c r="Q129" s="6">
        <v>32</v>
      </c>
      <c r="R129" s="6">
        <v>0</v>
      </c>
      <c r="S129" s="6">
        <v>0</v>
      </c>
      <c r="T129" s="6">
        <v>25</v>
      </c>
      <c r="U129" s="6">
        <v>113</v>
      </c>
      <c r="V129" s="6">
        <v>0</v>
      </c>
      <c r="W129">
        <v>0</v>
      </c>
      <c r="X129">
        <v>90</v>
      </c>
      <c r="Y129">
        <v>69</v>
      </c>
      <c r="Z129">
        <v>69</v>
      </c>
      <c r="AA129">
        <v>0</v>
      </c>
      <c r="AB129">
        <v>5833</v>
      </c>
      <c r="AC129">
        <v>1564.34</v>
      </c>
      <c r="AD129">
        <v>0</v>
      </c>
      <c r="AE129">
        <v>187</v>
      </c>
      <c r="AF129">
        <v>187</v>
      </c>
      <c r="AG129">
        <v>0.73181210354877424</v>
      </c>
      <c r="AH129">
        <v>1090771</v>
      </c>
      <c r="AI129">
        <v>292531.57999999996</v>
      </c>
      <c r="AJ129">
        <v>798239.42</v>
      </c>
      <c r="AK129">
        <v>107939.45999999999</v>
      </c>
      <c r="AL129" s="4">
        <v>2.7101449275362315</v>
      </c>
      <c r="AM129">
        <f t="shared" si="1"/>
        <v>4.4278074866310169</v>
      </c>
      <c r="AN129" s="5">
        <v>15.583333333333334</v>
      </c>
      <c r="AO129" s="4">
        <v>0.33</v>
      </c>
      <c r="AQ129">
        <v>0.5</v>
      </c>
    </row>
    <row r="130" spans="1:43" x14ac:dyDescent="0.25">
      <c r="A130">
        <v>129</v>
      </c>
      <c r="B130" t="s">
        <v>82</v>
      </c>
      <c r="C130" t="s">
        <v>44</v>
      </c>
      <c r="D130" t="s">
        <v>82</v>
      </c>
      <c r="E130" t="s">
        <v>215</v>
      </c>
      <c r="F130" t="s">
        <v>45</v>
      </c>
      <c r="G130" t="s">
        <v>45</v>
      </c>
      <c r="H130">
        <v>1</v>
      </c>
      <c r="I130">
        <v>1</v>
      </c>
      <c r="J130">
        <v>0.46539200000000003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135</v>
      </c>
      <c r="U130" s="6">
        <v>107</v>
      </c>
      <c r="V130" s="6">
        <v>45</v>
      </c>
      <c r="W130">
        <v>1</v>
      </c>
      <c r="X130">
        <v>90</v>
      </c>
      <c r="Y130">
        <v>493</v>
      </c>
      <c r="Z130">
        <v>493</v>
      </c>
      <c r="AA130">
        <v>0</v>
      </c>
      <c r="AB130">
        <v>3750</v>
      </c>
      <c r="AC130">
        <v>1282.47</v>
      </c>
      <c r="AD130">
        <v>0</v>
      </c>
      <c r="AE130">
        <v>287</v>
      </c>
      <c r="AF130">
        <v>287</v>
      </c>
      <c r="AG130">
        <v>0.65800799999999993</v>
      </c>
      <c r="AH130">
        <v>1076250</v>
      </c>
      <c r="AI130">
        <v>368068.89</v>
      </c>
      <c r="AJ130">
        <v>708181.11</v>
      </c>
      <c r="AK130">
        <v>632257.71</v>
      </c>
      <c r="AL130" s="4">
        <v>0.58215010141987833</v>
      </c>
      <c r="AM130">
        <f t="shared" si="1"/>
        <v>20.613240418118465</v>
      </c>
      <c r="AN130" s="5">
        <v>23.916666666666668</v>
      </c>
      <c r="AO130" s="4">
        <v>2.8836250000000008</v>
      </c>
      <c r="AQ130">
        <v>0.5</v>
      </c>
    </row>
    <row r="131" spans="1:43" x14ac:dyDescent="0.25">
      <c r="A131">
        <v>130</v>
      </c>
      <c r="B131" t="s">
        <v>82</v>
      </c>
      <c r="C131" t="s">
        <v>44</v>
      </c>
      <c r="D131" t="s">
        <v>82</v>
      </c>
      <c r="E131" t="s">
        <v>216</v>
      </c>
      <c r="F131" t="s">
        <v>45</v>
      </c>
      <c r="G131" t="s">
        <v>45</v>
      </c>
      <c r="H131">
        <v>1</v>
      </c>
      <c r="I131">
        <v>1</v>
      </c>
      <c r="J131">
        <v>9.2040000000000004E-3</v>
      </c>
      <c r="K131" s="6">
        <v>78</v>
      </c>
      <c r="L131" s="6">
        <v>32</v>
      </c>
      <c r="M131" s="6">
        <v>59</v>
      </c>
      <c r="N131" s="6">
        <v>42</v>
      </c>
      <c r="O131" s="6">
        <v>55</v>
      </c>
      <c r="P131" s="6">
        <v>32</v>
      </c>
      <c r="Q131" s="6">
        <v>21</v>
      </c>
      <c r="R131" s="6">
        <v>12</v>
      </c>
      <c r="S131" s="6">
        <v>28</v>
      </c>
      <c r="T131" s="6">
        <v>13</v>
      </c>
      <c r="U131" s="6">
        <v>39</v>
      </c>
      <c r="V131" s="6">
        <v>28</v>
      </c>
      <c r="W131">
        <v>0</v>
      </c>
      <c r="X131">
        <v>90</v>
      </c>
      <c r="Y131">
        <v>39</v>
      </c>
      <c r="Z131">
        <v>39</v>
      </c>
      <c r="AA131">
        <v>0</v>
      </c>
      <c r="AB131">
        <v>2443</v>
      </c>
      <c r="AC131">
        <v>632.42999999999995</v>
      </c>
      <c r="AD131">
        <v>0</v>
      </c>
      <c r="AE131">
        <v>439</v>
      </c>
      <c r="AF131">
        <v>439</v>
      </c>
      <c r="AG131">
        <v>0.74112566516577982</v>
      </c>
      <c r="AH131">
        <v>1072477</v>
      </c>
      <c r="AI131">
        <v>277636.76999999996</v>
      </c>
      <c r="AJ131">
        <v>794840.23</v>
      </c>
      <c r="AK131">
        <v>24664.769999999997</v>
      </c>
      <c r="AL131" s="4">
        <v>11.256410256410255</v>
      </c>
      <c r="AM131">
        <f t="shared" ref="AM131:AM194" si="2">12/AL131</f>
        <v>1.0660592255125285</v>
      </c>
      <c r="AN131" s="5">
        <v>36.583333333333336</v>
      </c>
      <c r="AO131" s="4">
        <v>0.11534500000000003</v>
      </c>
      <c r="AQ131">
        <v>0.5</v>
      </c>
    </row>
    <row r="132" spans="1:43" x14ac:dyDescent="0.25">
      <c r="A132">
        <v>131</v>
      </c>
      <c r="B132" t="s">
        <v>86</v>
      </c>
      <c r="C132" t="s">
        <v>44</v>
      </c>
      <c r="D132" t="s">
        <v>86</v>
      </c>
      <c r="E132" t="s">
        <v>217</v>
      </c>
      <c r="F132" t="s">
        <v>45</v>
      </c>
      <c r="G132" t="s">
        <v>45</v>
      </c>
      <c r="H132">
        <v>1</v>
      </c>
      <c r="I132">
        <v>1</v>
      </c>
      <c r="J132">
        <v>0.35868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53</v>
      </c>
      <c r="U132" s="6">
        <v>0</v>
      </c>
      <c r="V132" s="6">
        <v>3</v>
      </c>
      <c r="W132">
        <v>1</v>
      </c>
      <c r="X132">
        <v>90</v>
      </c>
      <c r="Y132">
        <v>35</v>
      </c>
      <c r="Z132">
        <v>35</v>
      </c>
      <c r="AA132">
        <v>0</v>
      </c>
      <c r="AB132">
        <v>18659</v>
      </c>
      <c r="AC132">
        <v>7009.14</v>
      </c>
      <c r="AD132">
        <v>0</v>
      </c>
      <c r="AE132">
        <v>56</v>
      </c>
      <c r="AF132">
        <v>56</v>
      </c>
      <c r="AG132">
        <v>0.62435607481644251</v>
      </c>
      <c r="AH132">
        <v>1044904</v>
      </c>
      <c r="AI132">
        <v>392511.84</v>
      </c>
      <c r="AJ132">
        <v>652392.15999999992</v>
      </c>
      <c r="AK132">
        <v>245319.90000000002</v>
      </c>
      <c r="AL132" s="4">
        <v>1.5999999999999999</v>
      </c>
      <c r="AM132">
        <f t="shared" si="2"/>
        <v>7.5000000000000009</v>
      </c>
      <c r="AN132" s="5">
        <v>4.666666666666667</v>
      </c>
      <c r="AO132" s="4">
        <v>6.5758000000000001</v>
      </c>
      <c r="AQ132">
        <v>0.5</v>
      </c>
    </row>
    <row r="133" spans="1:43" x14ac:dyDescent="0.25">
      <c r="A133">
        <v>132</v>
      </c>
      <c r="B133" t="s">
        <v>84</v>
      </c>
      <c r="C133" t="s">
        <v>44</v>
      </c>
      <c r="D133" t="s">
        <v>84</v>
      </c>
      <c r="E133" t="s">
        <v>218</v>
      </c>
      <c r="F133" t="s">
        <v>45</v>
      </c>
      <c r="G133" t="s">
        <v>45</v>
      </c>
      <c r="H133">
        <v>1</v>
      </c>
      <c r="I133">
        <v>1</v>
      </c>
      <c r="J133">
        <v>5.5848000000000002E-2</v>
      </c>
      <c r="K133" s="6">
        <v>35</v>
      </c>
      <c r="L133" s="6">
        <v>6</v>
      </c>
      <c r="M133" s="6">
        <v>28</v>
      </c>
      <c r="N133" s="6">
        <v>94</v>
      </c>
      <c r="O133" s="6">
        <v>48</v>
      </c>
      <c r="P133" s="6">
        <v>10</v>
      </c>
      <c r="Q133" s="6">
        <v>4</v>
      </c>
      <c r="R133" s="6">
        <v>12</v>
      </c>
      <c r="S133" s="6">
        <v>62</v>
      </c>
      <c r="T133" s="6">
        <v>0</v>
      </c>
      <c r="U133" s="6">
        <v>0</v>
      </c>
      <c r="V133" s="6">
        <v>0</v>
      </c>
      <c r="W133">
        <v>1</v>
      </c>
      <c r="X133">
        <v>90</v>
      </c>
      <c r="Y133">
        <v>179</v>
      </c>
      <c r="Z133">
        <v>179</v>
      </c>
      <c r="AA133">
        <v>0</v>
      </c>
      <c r="AB133">
        <v>3080</v>
      </c>
      <c r="AC133">
        <v>1273.95</v>
      </c>
      <c r="AD133">
        <v>0</v>
      </c>
      <c r="AE133">
        <v>299</v>
      </c>
      <c r="AF133">
        <v>299</v>
      </c>
      <c r="AG133">
        <v>0.58637987012987014</v>
      </c>
      <c r="AH133">
        <v>920920</v>
      </c>
      <c r="AI133">
        <v>380911.05</v>
      </c>
      <c r="AJ133">
        <v>540008.94999999995</v>
      </c>
      <c r="AK133">
        <v>228037.05000000002</v>
      </c>
      <c r="AL133" s="4">
        <v>1.6703910614525137</v>
      </c>
      <c r="AM133">
        <f t="shared" si="2"/>
        <v>7.1839464882943158</v>
      </c>
      <c r="AN133" s="5">
        <v>24.916666666666668</v>
      </c>
      <c r="AO133" s="4">
        <v>0.22440000000000002</v>
      </c>
      <c r="AQ133">
        <v>0.5</v>
      </c>
    </row>
    <row r="134" spans="1:43" x14ac:dyDescent="0.25">
      <c r="A134">
        <v>133</v>
      </c>
      <c r="B134" t="s">
        <v>82</v>
      </c>
      <c r="C134" t="s">
        <v>44</v>
      </c>
      <c r="D134" t="s">
        <v>82</v>
      </c>
      <c r="E134" t="s">
        <v>219</v>
      </c>
      <c r="F134" t="s">
        <v>45</v>
      </c>
      <c r="G134" t="s">
        <v>45</v>
      </c>
      <c r="H134">
        <v>1</v>
      </c>
      <c r="I134">
        <v>1</v>
      </c>
      <c r="J134">
        <v>0.73915200000000003</v>
      </c>
      <c r="K134" s="6">
        <v>23</v>
      </c>
      <c r="L134" s="6">
        <v>4</v>
      </c>
      <c r="M134" s="6">
        <v>28</v>
      </c>
      <c r="N134" s="6">
        <v>4</v>
      </c>
      <c r="O134" s="6">
        <v>3</v>
      </c>
      <c r="P134" s="6">
        <v>41</v>
      </c>
      <c r="Q134" s="6">
        <v>15</v>
      </c>
      <c r="R134" s="6">
        <v>0</v>
      </c>
      <c r="S134" s="6">
        <v>0</v>
      </c>
      <c r="T134" s="6">
        <v>35</v>
      </c>
      <c r="U134" s="6">
        <v>89</v>
      </c>
      <c r="V134" s="6">
        <v>1</v>
      </c>
      <c r="W134">
        <v>0</v>
      </c>
      <c r="X134">
        <v>90</v>
      </c>
      <c r="Y134">
        <v>783</v>
      </c>
      <c r="Z134">
        <v>783</v>
      </c>
      <c r="AA134">
        <v>0</v>
      </c>
      <c r="AB134">
        <v>3750</v>
      </c>
      <c r="AC134">
        <v>1782.79</v>
      </c>
      <c r="AD134">
        <v>0</v>
      </c>
      <c r="AE134">
        <v>243</v>
      </c>
      <c r="AF134">
        <v>243</v>
      </c>
      <c r="AG134">
        <v>0.52458933333333335</v>
      </c>
      <c r="AH134">
        <v>911250</v>
      </c>
      <c r="AI134">
        <v>433217.97</v>
      </c>
      <c r="AJ134">
        <v>478032.03</v>
      </c>
      <c r="AK134">
        <v>1395924.57</v>
      </c>
      <c r="AL134" s="4">
        <v>0.31034482758620685</v>
      </c>
      <c r="AM134">
        <f t="shared" si="2"/>
        <v>38.666666666666671</v>
      </c>
      <c r="AN134" s="5">
        <v>20.25</v>
      </c>
      <c r="AO134" s="4">
        <v>4.5561275000000014</v>
      </c>
      <c r="AQ134">
        <v>0.5</v>
      </c>
    </row>
    <row r="135" spans="1:43" x14ac:dyDescent="0.25">
      <c r="A135">
        <v>134</v>
      </c>
      <c r="B135" t="s">
        <v>85</v>
      </c>
      <c r="C135" t="s">
        <v>44</v>
      </c>
      <c r="D135" t="s">
        <v>85</v>
      </c>
      <c r="E135" t="s">
        <v>220</v>
      </c>
      <c r="F135" t="s">
        <v>45</v>
      </c>
      <c r="G135" t="s">
        <v>45</v>
      </c>
      <c r="H135">
        <v>1</v>
      </c>
      <c r="I135">
        <v>1</v>
      </c>
      <c r="J135">
        <v>0.40406400000000003</v>
      </c>
      <c r="K135" s="6">
        <v>48</v>
      </c>
      <c r="L135" s="6">
        <v>88</v>
      </c>
      <c r="M135" s="6">
        <v>216</v>
      </c>
      <c r="N135" s="6">
        <v>-216</v>
      </c>
      <c r="O135" s="6">
        <v>0</v>
      </c>
      <c r="P135" s="6">
        <v>0</v>
      </c>
      <c r="Q135" s="6">
        <v>0</v>
      </c>
      <c r="R135" s="6">
        <v>64</v>
      </c>
      <c r="S135" s="6">
        <v>40</v>
      </c>
      <c r="T135" s="6">
        <v>0</v>
      </c>
      <c r="U135" s="6">
        <v>0</v>
      </c>
      <c r="V135" s="6">
        <v>40</v>
      </c>
      <c r="W135">
        <v>0</v>
      </c>
      <c r="X135">
        <v>90</v>
      </c>
      <c r="Y135">
        <v>240</v>
      </c>
      <c r="Z135">
        <v>240</v>
      </c>
      <c r="AA135">
        <v>0</v>
      </c>
      <c r="AB135">
        <v>3123</v>
      </c>
      <c r="AC135">
        <v>1466.4</v>
      </c>
      <c r="AD135">
        <v>0</v>
      </c>
      <c r="AE135">
        <v>280</v>
      </c>
      <c r="AF135">
        <v>280</v>
      </c>
      <c r="AG135">
        <v>0.58102857142857145</v>
      </c>
      <c r="AH135">
        <v>874440</v>
      </c>
      <c r="AI135">
        <v>410592</v>
      </c>
      <c r="AJ135">
        <v>463848</v>
      </c>
      <c r="AK135">
        <v>351936</v>
      </c>
      <c r="AL135" s="4">
        <v>1.1666666666666667</v>
      </c>
      <c r="AM135">
        <f t="shared" si="2"/>
        <v>10.285714285714285</v>
      </c>
      <c r="AN135" s="5">
        <v>23.333333333333332</v>
      </c>
      <c r="AO135" s="4">
        <v>0.40406400000000003</v>
      </c>
      <c r="AQ135">
        <v>0.5</v>
      </c>
    </row>
    <row r="136" spans="1:43" x14ac:dyDescent="0.25">
      <c r="A136">
        <v>135</v>
      </c>
      <c r="B136" t="s">
        <v>82</v>
      </c>
      <c r="C136" t="s">
        <v>44</v>
      </c>
      <c r="D136" t="s">
        <v>82</v>
      </c>
      <c r="E136" t="s">
        <v>221</v>
      </c>
      <c r="F136" t="s">
        <v>45</v>
      </c>
      <c r="G136" t="s">
        <v>45</v>
      </c>
      <c r="H136">
        <v>1</v>
      </c>
      <c r="I136">
        <v>1</v>
      </c>
      <c r="J136">
        <v>1.5221999999999999E-2</v>
      </c>
      <c r="K136" s="6">
        <v>50</v>
      </c>
      <c r="L136" s="6">
        <v>5</v>
      </c>
      <c r="M136" s="6">
        <v>15</v>
      </c>
      <c r="N136" s="6">
        <v>48</v>
      </c>
      <c r="O136" s="6">
        <v>2</v>
      </c>
      <c r="P136" s="6">
        <v>38</v>
      </c>
      <c r="Q136" s="6">
        <v>64</v>
      </c>
      <c r="R136" s="6">
        <v>10</v>
      </c>
      <c r="S136" s="6">
        <v>18</v>
      </c>
      <c r="T136" s="6">
        <v>3</v>
      </c>
      <c r="U136" s="6">
        <v>77</v>
      </c>
      <c r="V136" s="6">
        <v>4</v>
      </c>
      <c r="W136">
        <v>1</v>
      </c>
      <c r="X136">
        <v>90</v>
      </c>
      <c r="Y136">
        <v>86</v>
      </c>
      <c r="Z136">
        <v>86</v>
      </c>
      <c r="AA136">
        <v>0</v>
      </c>
      <c r="AB136">
        <v>2445</v>
      </c>
      <c r="AC136">
        <v>508.03</v>
      </c>
      <c r="AD136">
        <v>0</v>
      </c>
      <c r="AE136">
        <v>334</v>
      </c>
      <c r="AF136">
        <v>334</v>
      </c>
      <c r="AG136">
        <v>0.79221676891615544</v>
      </c>
      <c r="AH136">
        <v>816630</v>
      </c>
      <c r="AI136">
        <v>169682.02</v>
      </c>
      <c r="AJ136">
        <v>646947.98</v>
      </c>
      <c r="AK136">
        <v>43690.579999999994</v>
      </c>
      <c r="AL136" s="4">
        <v>3.8837209302325584</v>
      </c>
      <c r="AM136">
        <f t="shared" si="2"/>
        <v>3.0898203592814371</v>
      </c>
      <c r="AN136" s="5">
        <v>27.833333333333332</v>
      </c>
      <c r="AO136" s="4">
        <v>0.34603500000000009</v>
      </c>
      <c r="AQ136">
        <v>0.5</v>
      </c>
    </row>
    <row r="137" spans="1:43" x14ac:dyDescent="0.25">
      <c r="A137">
        <v>136</v>
      </c>
      <c r="B137" t="s">
        <v>82</v>
      </c>
      <c r="C137" t="s">
        <v>44</v>
      </c>
      <c r="D137" t="s">
        <v>82</v>
      </c>
      <c r="E137" t="s">
        <v>222</v>
      </c>
      <c r="F137" t="s">
        <v>45</v>
      </c>
      <c r="G137" t="s">
        <v>45</v>
      </c>
      <c r="H137">
        <v>1</v>
      </c>
      <c r="I137">
        <v>1</v>
      </c>
      <c r="J137">
        <v>1.3924000000000001E-2</v>
      </c>
      <c r="K137" s="6">
        <v>78</v>
      </c>
      <c r="L137" s="6">
        <v>1</v>
      </c>
      <c r="M137" s="6">
        <v>6</v>
      </c>
      <c r="N137" s="6">
        <v>0</v>
      </c>
      <c r="O137" s="6">
        <v>41</v>
      </c>
      <c r="P137" s="6">
        <v>27</v>
      </c>
      <c r="Q137" s="6">
        <v>1</v>
      </c>
      <c r="R137" s="6">
        <v>78</v>
      </c>
      <c r="S137" s="6">
        <v>26</v>
      </c>
      <c r="T137" s="6">
        <v>37</v>
      </c>
      <c r="U137" s="6">
        <v>84</v>
      </c>
      <c r="V137" s="6">
        <v>62</v>
      </c>
      <c r="W137">
        <v>1</v>
      </c>
      <c r="X137">
        <v>90</v>
      </c>
      <c r="Y137">
        <v>118</v>
      </c>
      <c r="Z137">
        <v>118</v>
      </c>
      <c r="AA137">
        <v>0</v>
      </c>
      <c r="AB137">
        <v>1790</v>
      </c>
      <c r="AC137">
        <v>835.82</v>
      </c>
      <c r="AD137">
        <v>0</v>
      </c>
      <c r="AE137">
        <v>441</v>
      </c>
      <c r="AF137">
        <v>441</v>
      </c>
      <c r="AG137">
        <v>0.53306145251396642</v>
      </c>
      <c r="AH137">
        <v>789390</v>
      </c>
      <c r="AI137">
        <v>368596.62</v>
      </c>
      <c r="AJ137">
        <v>420793.38</v>
      </c>
      <c r="AK137">
        <v>98626.760000000009</v>
      </c>
      <c r="AL137" s="4">
        <v>3.7372881355932202</v>
      </c>
      <c r="AM137">
        <f t="shared" si="2"/>
        <v>3.2108843537414966</v>
      </c>
      <c r="AN137" s="5">
        <v>36.75</v>
      </c>
      <c r="AO137" s="4">
        <v>0.17301750000000005</v>
      </c>
      <c r="AQ137">
        <v>0.5</v>
      </c>
    </row>
    <row r="138" spans="1:43" x14ac:dyDescent="0.25">
      <c r="A138">
        <v>137</v>
      </c>
      <c r="B138" t="s">
        <v>82</v>
      </c>
      <c r="C138" t="s">
        <v>44</v>
      </c>
      <c r="D138" t="s">
        <v>82</v>
      </c>
      <c r="E138" t="s">
        <v>223</v>
      </c>
      <c r="F138" t="s">
        <v>45</v>
      </c>
      <c r="G138" t="s">
        <v>45</v>
      </c>
      <c r="H138">
        <v>1</v>
      </c>
      <c r="I138">
        <v>1</v>
      </c>
      <c r="J138">
        <v>1.2744E-2</v>
      </c>
      <c r="K138" s="6">
        <v>44</v>
      </c>
      <c r="L138" s="6">
        <v>2</v>
      </c>
      <c r="M138" s="6">
        <v>15</v>
      </c>
      <c r="N138" s="6">
        <v>28</v>
      </c>
      <c r="O138" s="6">
        <v>32</v>
      </c>
      <c r="P138" s="6">
        <v>72</v>
      </c>
      <c r="Q138" s="6">
        <v>14</v>
      </c>
      <c r="R138" s="6">
        <v>30</v>
      </c>
      <c r="S138" s="6">
        <v>19</v>
      </c>
      <c r="T138" s="6">
        <v>30</v>
      </c>
      <c r="U138" s="6">
        <v>113</v>
      </c>
      <c r="V138" s="6">
        <v>23</v>
      </c>
      <c r="W138">
        <v>0</v>
      </c>
      <c r="X138">
        <v>90</v>
      </c>
      <c r="Y138">
        <v>108</v>
      </c>
      <c r="Z138">
        <v>108</v>
      </c>
      <c r="AA138">
        <v>0</v>
      </c>
      <c r="AB138">
        <v>1790</v>
      </c>
      <c r="AC138">
        <v>557.69000000000005</v>
      </c>
      <c r="AD138">
        <v>0</v>
      </c>
      <c r="AE138">
        <v>422</v>
      </c>
      <c r="AF138">
        <v>422</v>
      </c>
      <c r="AG138">
        <v>0.68844134078212282</v>
      </c>
      <c r="AH138">
        <v>755380</v>
      </c>
      <c r="AI138">
        <v>235345.18000000002</v>
      </c>
      <c r="AJ138">
        <v>520034.81999999995</v>
      </c>
      <c r="AK138">
        <v>60230.520000000004</v>
      </c>
      <c r="AL138" s="4">
        <v>3.9074074074074074</v>
      </c>
      <c r="AM138">
        <f t="shared" si="2"/>
        <v>3.0710900473933651</v>
      </c>
      <c r="AN138" s="5">
        <v>35.166666666666664</v>
      </c>
      <c r="AO138" s="4">
        <v>0.17301750000000005</v>
      </c>
      <c r="AQ138">
        <v>0.5</v>
      </c>
    </row>
    <row r="139" spans="1:43" x14ac:dyDescent="0.25">
      <c r="A139">
        <v>138</v>
      </c>
      <c r="B139" t="s">
        <v>82</v>
      </c>
      <c r="C139" t="s">
        <v>44</v>
      </c>
      <c r="D139" t="s">
        <v>82</v>
      </c>
      <c r="E139" t="s">
        <v>224</v>
      </c>
      <c r="F139" t="s">
        <v>45</v>
      </c>
      <c r="G139" t="s">
        <v>45</v>
      </c>
      <c r="H139">
        <v>1</v>
      </c>
      <c r="I139">
        <v>1</v>
      </c>
      <c r="J139">
        <v>0.76888800000000002</v>
      </c>
      <c r="K139" s="6">
        <v>32</v>
      </c>
      <c r="L139" s="6">
        <v>29</v>
      </c>
      <c r="M139" s="6">
        <v>13</v>
      </c>
      <c r="N139" s="6">
        <v>9</v>
      </c>
      <c r="O139" s="6">
        <v>14</v>
      </c>
      <c r="P139" s="6">
        <v>2</v>
      </c>
      <c r="Q139" s="6">
        <v>82</v>
      </c>
      <c r="R139" s="6">
        <v>40</v>
      </c>
      <c r="S139" s="6">
        <v>14</v>
      </c>
      <c r="T139" s="6">
        <v>15</v>
      </c>
      <c r="U139" s="6">
        <v>50</v>
      </c>
      <c r="V139" s="6">
        <v>8</v>
      </c>
      <c r="W139">
        <v>1</v>
      </c>
      <c r="X139">
        <v>90</v>
      </c>
      <c r="Y139">
        <v>3258</v>
      </c>
      <c r="Z139">
        <v>3258</v>
      </c>
      <c r="AA139">
        <v>0</v>
      </c>
      <c r="AB139">
        <v>2377</v>
      </c>
      <c r="AC139">
        <v>742.98</v>
      </c>
      <c r="AD139">
        <v>0</v>
      </c>
      <c r="AE139">
        <v>308</v>
      </c>
      <c r="AF139">
        <v>308</v>
      </c>
      <c r="AG139">
        <v>0.68742953302482124</v>
      </c>
      <c r="AH139">
        <v>732116</v>
      </c>
      <c r="AI139">
        <v>228837.84</v>
      </c>
      <c r="AJ139">
        <v>503278.16000000003</v>
      </c>
      <c r="AK139">
        <v>2420628.84</v>
      </c>
      <c r="AL139" s="4">
        <v>9.4536525475752003E-2</v>
      </c>
      <c r="AM139">
        <f t="shared" si="2"/>
        <v>126.93506493506493</v>
      </c>
      <c r="AN139" s="5">
        <v>25.666666666666668</v>
      </c>
      <c r="AO139" s="4">
        <v>9.4582900000000016</v>
      </c>
      <c r="AQ139">
        <v>0.5</v>
      </c>
    </row>
    <row r="140" spans="1:43" x14ac:dyDescent="0.25">
      <c r="A140">
        <v>139</v>
      </c>
      <c r="B140" t="s">
        <v>83</v>
      </c>
      <c r="C140" t="s">
        <v>44</v>
      </c>
      <c r="D140" t="s">
        <v>83</v>
      </c>
      <c r="E140" t="s">
        <v>225</v>
      </c>
      <c r="F140" t="s">
        <v>45</v>
      </c>
      <c r="G140" t="s">
        <v>45</v>
      </c>
      <c r="H140">
        <v>1</v>
      </c>
      <c r="I140">
        <v>1</v>
      </c>
      <c r="J140">
        <v>1.0000000000000002E-3</v>
      </c>
      <c r="K140" s="6">
        <v>26</v>
      </c>
      <c r="L140" s="6">
        <v>49</v>
      </c>
      <c r="M140" s="6">
        <v>31</v>
      </c>
      <c r="N140" s="6">
        <v>17</v>
      </c>
      <c r="O140" s="6">
        <v>47</v>
      </c>
      <c r="P140" s="6">
        <v>51</v>
      </c>
      <c r="Q140" s="6">
        <v>36</v>
      </c>
      <c r="R140" s="6">
        <v>32</v>
      </c>
      <c r="S140" s="6">
        <v>27</v>
      </c>
      <c r="T140" s="6">
        <v>31</v>
      </c>
      <c r="U140" s="6">
        <v>39</v>
      </c>
      <c r="V140" s="6">
        <v>17</v>
      </c>
      <c r="W140">
        <v>3</v>
      </c>
      <c r="X140">
        <v>90</v>
      </c>
      <c r="Y140">
        <v>1</v>
      </c>
      <c r="Z140">
        <v>1</v>
      </c>
      <c r="AA140">
        <v>0</v>
      </c>
      <c r="AB140">
        <v>1804</v>
      </c>
      <c r="AC140">
        <v>234.62</v>
      </c>
      <c r="AD140">
        <v>0</v>
      </c>
      <c r="AE140">
        <v>403</v>
      </c>
      <c r="AF140">
        <v>403</v>
      </c>
      <c r="AG140">
        <v>0.8699445676274945</v>
      </c>
      <c r="AH140">
        <v>727012</v>
      </c>
      <c r="AI140">
        <v>94551.86</v>
      </c>
      <c r="AJ140">
        <v>632460.14</v>
      </c>
      <c r="AK140">
        <v>234.62</v>
      </c>
      <c r="AL140" s="4">
        <v>403</v>
      </c>
      <c r="AM140">
        <f t="shared" si="2"/>
        <v>2.9776674937965261E-2</v>
      </c>
      <c r="AN140" s="5">
        <v>33.583333333333336</v>
      </c>
      <c r="AO140" s="4">
        <v>1.0000000000000002E-3</v>
      </c>
      <c r="AQ140">
        <v>0.5</v>
      </c>
    </row>
    <row r="141" spans="1:43" x14ac:dyDescent="0.25">
      <c r="A141">
        <v>140</v>
      </c>
      <c r="B141" t="s">
        <v>82</v>
      </c>
      <c r="C141" t="s">
        <v>44</v>
      </c>
      <c r="D141" t="s">
        <v>82</v>
      </c>
      <c r="E141" t="s">
        <v>226</v>
      </c>
      <c r="F141" t="s">
        <v>45</v>
      </c>
      <c r="G141" t="s">
        <v>45</v>
      </c>
      <c r="H141">
        <v>1</v>
      </c>
      <c r="I141">
        <v>1</v>
      </c>
      <c r="J141">
        <v>1.5221999999999999E-2</v>
      </c>
      <c r="K141" s="6">
        <v>73</v>
      </c>
      <c r="L141" s="6">
        <v>55</v>
      </c>
      <c r="M141" s="6">
        <v>0</v>
      </c>
      <c r="N141" s="6">
        <v>22</v>
      </c>
      <c r="O141" s="6">
        <v>58</v>
      </c>
      <c r="P141" s="6">
        <v>2</v>
      </c>
      <c r="Q141" s="6">
        <v>31</v>
      </c>
      <c r="R141" s="6">
        <v>34</v>
      </c>
      <c r="S141" s="6">
        <v>3</v>
      </c>
      <c r="T141" s="6">
        <v>1</v>
      </c>
      <c r="U141" s="6">
        <v>6</v>
      </c>
      <c r="V141" s="6">
        <v>3</v>
      </c>
      <c r="W141">
        <v>0</v>
      </c>
      <c r="X141">
        <v>90</v>
      </c>
      <c r="Y141">
        <v>86</v>
      </c>
      <c r="Z141">
        <v>86</v>
      </c>
      <c r="AA141">
        <v>0</v>
      </c>
      <c r="AB141">
        <v>2445</v>
      </c>
      <c r="AC141">
        <v>631.09</v>
      </c>
      <c r="AD141">
        <v>0</v>
      </c>
      <c r="AE141">
        <v>288</v>
      </c>
      <c r="AF141">
        <v>288</v>
      </c>
      <c r="AG141">
        <v>0.74188548057259707</v>
      </c>
      <c r="AH141">
        <v>704160</v>
      </c>
      <c r="AI141">
        <v>181753.92</v>
      </c>
      <c r="AJ141">
        <v>522406.07999999996</v>
      </c>
      <c r="AK141">
        <v>54273.740000000005</v>
      </c>
      <c r="AL141" s="4">
        <v>3.3488372093023253</v>
      </c>
      <c r="AM141">
        <f t="shared" si="2"/>
        <v>3.5833333333333335</v>
      </c>
      <c r="AN141" s="5">
        <v>24</v>
      </c>
      <c r="AO141" s="4">
        <v>0.34603500000000009</v>
      </c>
      <c r="AQ141">
        <v>0.5</v>
      </c>
    </row>
    <row r="142" spans="1:43" x14ac:dyDescent="0.25">
      <c r="A142">
        <v>141</v>
      </c>
      <c r="B142" t="s">
        <v>82</v>
      </c>
      <c r="C142" t="s">
        <v>44</v>
      </c>
      <c r="D142" t="s">
        <v>82</v>
      </c>
      <c r="E142" t="s">
        <v>227</v>
      </c>
      <c r="F142" t="s">
        <v>45</v>
      </c>
      <c r="G142" t="s">
        <v>45</v>
      </c>
      <c r="H142">
        <v>1</v>
      </c>
      <c r="I142">
        <v>1</v>
      </c>
      <c r="J142">
        <v>3.4928000000000001E-2</v>
      </c>
      <c r="K142" s="6">
        <v>12</v>
      </c>
      <c r="L142" s="6">
        <v>40</v>
      </c>
      <c r="M142" s="6">
        <v>16</v>
      </c>
      <c r="N142" s="6">
        <v>16</v>
      </c>
      <c r="O142" s="6">
        <v>20</v>
      </c>
      <c r="P142" s="6">
        <v>10</v>
      </c>
      <c r="Q142" s="6">
        <v>8</v>
      </c>
      <c r="R142" s="6">
        <v>41</v>
      </c>
      <c r="S142" s="6">
        <v>41</v>
      </c>
      <c r="T142" s="6">
        <v>26</v>
      </c>
      <c r="U142" s="6">
        <v>27</v>
      </c>
      <c r="V142" s="6">
        <v>22</v>
      </c>
      <c r="W142">
        <v>2</v>
      </c>
      <c r="X142">
        <v>90</v>
      </c>
      <c r="Y142">
        <v>148</v>
      </c>
      <c r="Z142">
        <v>148</v>
      </c>
      <c r="AA142">
        <v>0</v>
      </c>
      <c r="AB142">
        <v>2443</v>
      </c>
      <c r="AC142">
        <v>508.49</v>
      </c>
      <c r="AD142">
        <v>0</v>
      </c>
      <c r="AE142">
        <v>279</v>
      </c>
      <c r="AF142">
        <v>279</v>
      </c>
      <c r="AG142">
        <v>0.79185837085550548</v>
      </c>
      <c r="AH142">
        <v>681597</v>
      </c>
      <c r="AI142">
        <v>141868.71</v>
      </c>
      <c r="AJ142">
        <v>539728.29</v>
      </c>
      <c r="AK142">
        <v>75256.52</v>
      </c>
      <c r="AL142" s="4">
        <v>1.8851351351351349</v>
      </c>
      <c r="AM142">
        <f t="shared" si="2"/>
        <v>6.3655913978494629</v>
      </c>
      <c r="AN142" s="5">
        <v>23.25</v>
      </c>
      <c r="AO142" s="4">
        <v>0.46138000000000012</v>
      </c>
      <c r="AQ142">
        <v>0.5</v>
      </c>
    </row>
    <row r="143" spans="1:43" x14ac:dyDescent="0.25">
      <c r="A143">
        <v>142</v>
      </c>
      <c r="B143" t="s">
        <v>86</v>
      </c>
      <c r="C143" t="s">
        <v>44</v>
      </c>
      <c r="D143" t="s">
        <v>86</v>
      </c>
      <c r="E143" t="s">
        <v>228</v>
      </c>
      <c r="F143" t="s">
        <v>45</v>
      </c>
      <c r="G143" t="s">
        <v>45</v>
      </c>
      <c r="H143">
        <v>1</v>
      </c>
      <c r="I143">
        <v>1</v>
      </c>
      <c r="J143">
        <v>4.6249999999999999E-2</v>
      </c>
      <c r="K143" s="6">
        <v>0</v>
      </c>
      <c r="L143" s="6">
        <v>0</v>
      </c>
      <c r="M143" s="6">
        <v>40</v>
      </c>
      <c r="N143" s="6">
        <v>39</v>
      </c>
      <c r="O143" s="6">
        <v>110</v>
      </c>
      <c r="P143" s="6">
        <v>0</v>
      </c>
      <c r="Q143" s="6">
        <v>0</v>
      </c>
      <c r="R143" s="6">
        <v>11</v>
      </c>
      <c r="S143" s="6">
        <v>0</v>
      </c>
      <c r="T143" s="6">
        <v>0</v>
      </c>
      <c r="U143" s="6">
        <v>0</v>
      </c>
      <c r="V143" s="6">
        <v>0</v>
      </c>
      <c r="W143">
        <v>1</v>
      </c>
      <c r="X143">
        <v>90</v>
      </c>
      <c r="Y143">
        <v>37</v>
      </c>
      <c r="Z143">
        <v>37</v>
      </c>
      <c r="AA143">
        <v>0</v>
      </c>
      <c r="AB143">
        <v>3124</v>
      </c>
      <c r="AC143">
        <v>892.69</v>
      </c>
      <c r="AD143">
        <v>0</v>
      </c>
      <c r="AE143">
        <v>200</v>
      </c>
      <c r="AF143">
        <v>200</v>
      </c>
      <c r="AG143">
        <v>0.71424775928297057</v>
      </c>
      <c r="AH143">
        <v>624800</v>
      </c>
      <c r="AI143">
        <v>178538</v>
      </c>
      <c r="AJ143">
        <v>446262</v>
      </c>
      <c r="AK143">
        <v>33029.53</v>
      </c>
      <c r="AL143" s="4">
        <v>5.4054054054054053</v>
      </c>
      <c r="AM143">
        <f t="shared" si="2"/>
        <v>2.2200000000000002</v>
      </c>
      <c r="AN143" s="5">
        <v>16.666666666666668</v>
      </c>
      <c r="AO143" s="4">
        <v>0.33</v>
      </c>
      <c r="AQ143">
        <v>0.5</v>
      </c>
    </row>
    <row r="144" spans="1:43" x14ac:dyDescent="0.25">
      <c r="A144">
        <v>143</v>
      </c>
      <c r="B144" t="s">
        <v>85</v>
      </c>
      <c r="C144" t="s">
        <v>44</v>
      </c>
      <c r="D144" t="s">
        <v>85</v>
      </c>
      <c r="E144" t="s">
        <v>229</v>
      </c>
      <c r="F144" t="s">
        <v>45</v>
      </c>
      <c r="G144" t="s">
        <v>45</v>
      </c>
      <c r="H144">
        <v>1</v>
      </c>
      <c r="I144">
        <v>1</v>
      </c>
      <c r="J144">
        <v>2.4599999999999997E-2</v>
      </c>
      <c r="K144" s="6">
        <v>1</v>
      </c>
      <c r="L144" s="6">
        <v>38</v>
      </c>
      <c r="M144" s="6">
        <v>1</v>
      </c>
      <c r="N144" s="6">
        <v>0</v>
      </c>
      <c r="O144" s="6">
        <v>2</v>
      </c>
      <c r="P144" s="6">
        <v>0</v>
      </c>
      <c r="Q144" s="6">
        <v>41</v>
      </c>
      <c r="R144" s="6">
        <v>68</v>
      </c>
      <c r="S144" s="6">
        <v>2</v>
      </c>
      <c r="T144" s="6">
        <v>10</v>
      </c>
      <c r="U144" s="6">
        <v>0</v>
      </c>
      <c r="V144" s="6">
        <v>0</v>
      </c>
      <c r="W144">
        <v>1</v>
      </c>
      <c r="X144">
        <v>90</v>
      </c>
      <c r="Y144">
        <v>41</v>
      </c>
      <c r="Z144">
        <v>41</v>
      </c>
      <c r="AA144">
        <v>0</v>
      </c>
      <c r="AB144">
        <v>3800</v>
      </c>
      <c r="AC144">
        <v>1663.82</v>
      </c>
      <c r="AD144">
        <v>0</v>
      </c>
      <c r="AE144">
        <v>163</v>
      </c>
      <c r="AF144">
        <v>163</v>
      </c>
      <c r="AG144">
        <v>0.56215263157894746</v>
      </c>
      <c r="AH144">
        <v>619400</v>
      </c>
      <c r="AI144">
        <v>271202.65999999997</v>
      </c>
      <c r="AJ144">
        <v>348197.34</v>
      </c>
      <c r="AK144">
        <v>68216.62</v>
      </c>
      <c r="AL144" s="4">
        <v>3.975609756097561</v>
      </c>
      <c r="AM144">
        <f t="shared" si="2"/>
        <v>3.01840490797546</v>
      </c>
      <c r="AN144" s="5">
        <v>13.583333333333334</v>
      </c>
      <c r="AO144" s="4">
        <v>0.14399999999999999</v>
      </c>
      <c r="AQ144">
        <v>0.5</v>
      </c>
    </row>
    <row r="145" spans="1:43" x14ac:dyDescent="0.25">
      <c r="A145">
        <v>144</v>
      </c>
      <c r="B145" t="s">
        <v>82</v>
      </c>
      <c r="C145" t="s">
        <v>44</v>
      </c>
      <c r="D145" t="s">
        <v>82</v>
      </c>
      <c r="E145" t="s">
        <v>230</v>
      </c>
      <c r="F145" t="s">
        <v>45</v>
      </c>
      <c r="G145" t="s">
        <v>45</v>
      </c>
      <c r="H145">
        <v>1</v>
      </c>
      <c r="I145">
        <v>1</v>
      </c>
      <c r="J145">
        <v>0.46656000000000003</v>
      </c>
      <c r="K145" s="6">
        <v>54</v>
      </c>
      <c r="L145" s="6">
        <v>20</v>
      </c>
      <c r="M145" s="6">
        <v>30</v>
      </c>
      <c r="N145" s="6">
        <v>89</v>
      </c>
      <c r="O145" s="6">
        <v>40</v>
      </c>
      <c r="P145" s="6">
        <v>0</v>
      </c>
      <c r="Q145" s="6">
        <v>0</v>
      </c>
      <c r="R145" s="6">
        <v>70</v>
      </c>
      <c r="S145" s="6">
        <v>16</v>
      </c>
      <c r="T145" s="6">
        <v>20</v>
      </c>
      <c r="U145" s="6">
        <v>30</v>
      </c>
      <c r="V145" s="6">
        <v>0</v>
      </c>
      <c r="W145">
        <v>7</v>
      </c>
      <c r="X145">
        <v>90</v>
      </c>
      <c r="Y145">
        <v>3240</v>
      </c>
      <c r="Z145">
        <v>3240</v>
      </c>
      <c r="AA145">
        <v>0</v>
      </c>
      <c r="AB145">
        <v>1645</v>
      </c>
      <c r="AC145">
        <v>1131.67</v>
      </c>
      <c r="AD145">
        <v>0</v>
      </c>
      <c r="AE145">
        <v>369</v>
      </c>
      <c r="AF145">
        <v>369</v>
      </c>
      <c r="AG145">
        <v>0.31205471124620049</v>
      </c>
      <c r="AH145">
        <v>607005</v>
      </c>
      <c r="AI145">
        <v>417586.23000000004</v>
      </c>
      <c r="AJ145">
        <v>189418.76999999996</v>
      </c>
      <c r="AK145">
        <v>3666610.8000000003</v>
      </c>
      <c r="AL145" s="4">
        <v>0.11388888888888889</v>
      </c>
      <c r="AM145">
        <f t="shared" si="2"/>
        <v>105.36585365853659</v>
      </c>
      <c r="AN145" s="5">
        <v>30.75</v>
      </c>
      <c r="AO145" s="4">
        <v>1.9237200000000003</v>
      </c>
      <c r="AQ145">
        <v>0.5</v>
      </c>
    </row>
    <row r="146" spans="1:43" x14ac:dyDescent="0.25">
      <c r="A146">
        <v>145</v>
      </c>
      <c r="B146" t="s">
        <v>82</v>
      </c>
      <c r="C146" t="s">
        <v>44</v>
      </c>
      <c r="D146" t="s">
        <v>82</v>
      </c>
      <c r="E146" t="s">
        <v>231</v>
      </c>
      <c r="F146" t="s">
        <v>45</v>
      </c>
      <c r="G146" t="s">
        <v>45</v>
      </c>
      <c r="H146">
        <v>1</v>
      </c>
      <c r="I146">
        <v>1</v>
      </c>
      <c r="J146">
        <v>2.596E-2</v>
      </c>
      <c r="K146" s="6">
        <v>102</v>
      </c>
      <c r="L146" s="6">
        <v>8</v>
      </c>
      <c r="M146" s="6">
        <v>5</v>
      </c>
      <c r="N146" s="6">
        <v>9</v>
      </c>
      <c r="O146" s="6">
        <v>9</v>
      </c>
      <c r="P146" s="6">
        <v>31</v>
      </c>
      <c r="Q146" s="6">
        <v>15</v>
      </c>
      <c r="R146" s="6">
        <v>5</v>
      </c>
      <c r="S146" s="6">
        <v>23</v>
      </c>
      <c r="T146" s="6">
        <v>2</v>
      </c>
      <c r="U146" s="6">
        <v>19</v>
      </c>
      <c r="V146" s="6">
        <v>15</v>
      </c>
      <c r="W146">
        <v>0</v>
      </c>
      <c r="X146">
        <v>90</v>
      </c>
      <c r="Y146">
        <v>110</v>
      </c>
      <c r="Z146">
        <v>110</v>
      </c>
      <c r="AA146">
        <v>0</v>
      </c>
      <c r="AB146">
        <v>2443</v>
      </c>
      <c r="AC146">
        <v>599.20000000000005</v>
      </c>
      <c r="AD146">
        <v>0</v>
      </c>
      <c r="AE146">
        <v>243</v>
      </c>
      <c r="AF146">
        <v>243</v>
      </c>
      <c r="AG146">
        <v>0.75472779369627507</v>
      </c>
      <c r="AH146">
        <v>593649</v>
      </c>
      <c r="AI146">
        <v>145605.6</v>
      </c>
      <c r="AJ146">
        <v>448043.4</v>
      </c>
      <c r="AK146">
        <v>65912</v>
      </c>
      <c r="AL146" s="4">
        <v>2.209090909090909</v>
      </c>
      <c r="AM146">
        <f t="shared" si="2"/>
        <v>5.4320987654320989</v>
      </c>
      <c r="AN146" s="5">
        <v>20.25</v>
      </c>
      <c r="AO146" s="4">
        <v>0.34603500000000009</v>
      </c>
      <c r="AQ146">
        <v>0.5</v>
      </c>
    </row>
    <row r="147" spans="1:43" x14ac:dyDescent="0.25">
      <c r="A147">
        <v>146</v>
      </c>
      <c r="B147" t="s">
        <v>82</v>
      </c>
      <c r="C147" t="s">
        <v>44</v>
      </c>
      <c r="D147" t="s">
        <v>82</v>
      </c>
      <c r="E147" t="s">
        <v>232</v>
      </c>
      <c r="F147" t="s">
        <v>45</v>
      </c>
      <c r="G147" t="s">
        <v>45</v>
      </c>
      <c r="H147">
        <v>1</v>
      </c>
      <c r="I147">
        <v>1</v>
      </c>
      <c r="J147">
        <v>9.6760000000000006E-3</v>
      </c>
      <c r="K147" s="6">
        <v>4</v>
      </c>
      <c r="L147" s="6">
        <v>186</v>
      </c>
      <c r="M147" s="6">
        <v>22</v>
      </c>
      <c r="N147" s="6">
        <v>82</v>
      </c>
      <c r="O147" s="6">
        <v>-10</v>
      </c>
      <c r="P147" s="6">
        <v>8</v>
      </c>
      <c r="Q147" s="6">
        <v>10</v>
      </c>
      <c r="R147" s="6">
        <v>18</v>
      </c>
      <c r="S147" s="6">
        <v>2</v>
      </c>
      <c r="T147" s="6">
        <v>0</v>
      </c>
      <c r="U147" s="6">
        <v>0</v>
      </c>
      <c r="V147" s="6">
        <v>0</v>
      </c>
      <c r="W147">
        <v>0</v>
      </c>
      <c r="X147">
        <v>90</v>
      </c>
      <c r="Y147">
        <v>82</v>
      </c>
      <c r="Z147">
        <v>82</v>
      </c>
      <c r="AA147">
        <v>0</v>
      </c>
      <c r="AB147">
        <v>1790</v>
      </c>
      <c r="AC147">
        <v>941.72</v>
      </c>
      <c r="AD147">
        <v>0</v>
      </c>
      <c r="AE147">
        <v>322</v>
      </c>
      <c r="AF147">
        <v>322</v>
      </c>
      <c r="AG147">
        <v>0.4738994413407821</v>
      </c>
      <c r="AH147">
        <v>576380</v>
      </c>
      <c r="AI147">
        <v>303233.84000000003</v>
      </c>
      <c r="AJ147">
        <v>273146.15999999997</v>
      </c>
      <c r="AK147">
        <v>77221.040000000008</v>
      </c>
      <c r="AL147" s="4">
        <v>3.9268292682926829</v>
      </c>
      <c r="AM147">
        <f t="shared" si="2"/>
        <v>3.0559006211180124</v>
      </c>
      <c r="AN147" s="5">
        <v>26.833333333333332</v>
      </c>
      <c r="AO147" s="4">
        <v>0.17301750000000005</v>
      </c>
      <c r="AQ147">
        <v>0.5</v>
      </c>
    </row>
    <row r="148" spans="1:43" x14ac:dyDescent="0.25">
      <c r="A148">
        <v>147</v>
      </c>
      <c r="B148" t="s">
        <v>82</v>
      </c>
      <c r="C148" t="s">
        <v>44</v>
      </c>
      <c r="D148" t="s">
        <v>82</v>
      </c>
      <c r="E148" t="s">
        <v>233</v>
      </c>
      <c r="F148" t="s">
        <v>45</v>
      </c>
      <c r="G148" t="s">
        <v>45</v>
      </c>
      <c r="H148">
        <v>1</v>
      </c>
      <c r="I148">
        <v>1</v>
      </c>
      <c r="J148">
        <v>1.0619999999999999E-2</v>
      </c>
      <c r="K148" s="6">
        <v>28</v>
      </c>
      <c r="L148" s="6">
        <v>0</v>
      </c>
      <c r="M148" s="6">
        <v>5</v>
      </c>
      <c r="N148" s="6">
        <v>0</v>
      </c>
      <c r="O148" s="6">
        <v>16</v>
      </c>
      <c r="P148" s="6">
        <v>60</v>
      </c>
      <c r="Q148" s="6">
        <v>21</v>
      </c>
      <c r="R148" s="6">
        <v>40</v>
      </c>
      <c r="S148" s="6">
        <v>40</v>
      </c>
      <c r="T148" s="6">
        <v>4</v>
      </c>
      <c r="U148" s="6">
        <v>13</v>
      </c>
      <c r="V148" s="6">
        <v>4</v>
      </c>
      <c r="W148">
        <v>0</v>
      </c>
      <c r="X148">
        <v>90</v>
      </c>
      <c r="Y148">
        <v>60</v>
      </c>
      <c r="Z148">
        <v>60</v>
      </c>
      <c r="AA148">
        <v>0</v>
      </c>
      <c r="AB148">
        <v>2445</v>
      </c>
      <c r="AC148">
        <v>664.68</v>
      </c>
      <c r="AD148">
        <v>0</v>
      </c>
      <c r="AE148">
        <v>231</v>
      </c>
      <c r="AF148">
        <v>231</v>
      </c>
      <c r="AG148">
        <v>0.72814723926380376</v>
      </c>
      <c r="AH148">
        <v>564795</v>
      </c>
      <c r="AI148">
        <v>153541.07999999999</v>
      </c>
      <c r="AJ148">
        <v>411253.92000000004</v>
      </c>
      <c r="AK148">
        <v>39880.799999999996</v>
      </c>
      <c r="AL148" s="4">
        <v>3.85</v>
      </c>
      <c r="AM148">
        <f t="shared" si="2"/>
        <v>3.116883116883117</v>
      </c>
      <c r="AN148" s="5">
        <v>19.25</v>
      </c>
      <c r="AO148" s="4">
        <v>0.23069000000000006</v>
      </c>
      <c r="AQ148">
        <v>0.5</v>
      </c>
    </row>
    <row r="149" spans="1:43" x14ac:dyDescent="0.25">
      <c r="A149">
        <v>148</v>
      </c>
      <c r="B149" t="s">
        <v>82</v>
      </c>
      <c r="C149" t="s">
        <v>44</v>
      </c>
      <c r="D149" t="s">
        <v>82</v>
      </c>
      <c r="E149" t="s">
        <v>234</v>
      </c>
      <c r="F149" t="s">
        <v>45</v>
      </c>
      <c r="G149" t="s">
        <v>45</v>
      </c>
      <c r="H149">
        <v>1</v>
      </c>
      <c r="I149">
        <v>1</v>
      </c>
      <c r="J149">
        <v>9.2040000000000004E-3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149</v>
      </c>
      <c r="W149">
        <v>1</v>
      </c>
      <c r="X149">
        <v>90</v>
      </c>
      <c r="Y149">
        <v>8</v>
      </c>
      <c r="Z149">
        <v>8</v>
      </c>
      <c r="AA149">
        <v>0</v>
      </c>
      <c r="AB149">
        <v>3750</v>
      </c>
      <c r="AC149">
        <v>1282.47</v>
      </c>
      <c r="AD149">
        <v>0</v>
      </c>
      <c r="AE149">
        <v>149</v>
      </c>
      <c r="AF149">
        <v>149</v>
      </c>
      <c r="AG149">
        <v>0.65800799999999993</v>
      </c>
      <c r="AH149">
        <v>558750</v>
      </c>
      <c r="AI149">
        <v>191088.03</v>
      </c>
      <c r="AJ149">
        <v>367661.97</v>
      </c>
      <c r="AK149">
        <v>10259.76</v>
      </c>
      <c r="AL149" s="4">
        <v>18.625</v>
      </c>
      <c r="AM149">
        <f t="shared" si="2"/>
        <v>0.64429530201342278</v>
      </c>
      <c r="AN149" s="5">
        <v>12.416666666666666</v>
      </c>
      <c r="AO149" s="4">
        <v>5.7672500000000015E-2</v>
      </c>
      <c r="AQ149">
        <v>0.5</v>
      </c>
    </row>
    <row r="150" spans="1:43" x14ac:dyDescent="0.25">
      <c r="A150">
        <v>149</v>
      </c>
      <c r="B150" t="s">
        <v>85</v>
      </c>
      <c r="C150" t="s">
        <v>44</v>
      </c>
      <c r="D150" t="s">
        <v>85</v>
      </c>
      <c r="E150" t="s">
        <v>235</v>
      </c>
      <c r="F150" t="s">
        <v>45</v>
      </c>
      <c r="G150" t="s">
        <v>45</v>
      </c>
      <c r="H150">
        <v>1</v>
      </c>
      <c r="I150">
        <v>1</v>
      </c>
      <c r="J150">
        <v>2.2799999999999997E-2</v>
      </c>
      <c r="K150" s="6">
        <v>11</v>
      </c>
      <c r="L150" s="6">
        <v>13</v>
      </c>
      <c r="M150" s="6">
        <v>17</v>
      </c>
      <c r="N150" s="6">
        <v>2</v>
      </c>
      <c r="O150" s="6">
        <v>11</v>
      </c>
      <c r="P150" s="6">
        <v>0</v>
      </c>
      <c r="Q150" s="6">
        <v>4</v>
      </c>
      <c r="R150" s="6">
        <v>49</v>
      </c>
      <c r="S150" s="6">
        <v>14</v>
      </c>
      <c r="T150" s="6">
        <v>9</v>
      </c>
      <c r="U150" s="6">
        <v>6</v>
      </c>
      <c r="V150" s="6">
        <v>10</v>
      </c>
      <c r="W150">
        <v>1</v>
      </c>
      <c r="X150">
        <v>90</v>
      </c>
      <c r="Y150">
        <v>38</v>
      </c>
      <c r="Z150">
        <v>38</v>
      </c>
      <c r="AA150">
        <v>0</v>
      </c>
      <c r="AB150">
        <v>3800</v>
      </c>
      <c r="AC150">
        <v>1663.82</v>
      </c>
      <c r="AD150">
        <v>0</v>
      </c>
      <c r="AE150">
        <v>146</v>
      </c>
      <c r="AF150">
        <v>146</v>
      </c>
      <c r="AG150">
        <v>0.56215263157894746</v>
      </c>
      <c r="AH150">
        <v>554800</v>
      </c>
      <c r="AI150">
        <v>242917.72</v>
      </c>
      <c r="AJ150">
        <v>311882.28000000003</v>
      </c>
      <c r="AK150">
        <v>63225.159999999996</v>
      </c>
      <c r="AL150" s="4">
        <v>3.8421052631578951</v>
      </c>
      <c r="AM150">
        <f t="shared" si="2"/>
        <v>3.1232876712328763</v>
      </c>
      <c r="AN150" s="5">
        <v>12.166666666666666</v>
      </c>
      <c r="AO150" s="4">
        <v>5.7599999999999998E-2</v>
      </c>
      <c r="AQ150">
        <v>0.5</v>
      </c>
    </row>
    <row r="151" spans="1:43" x14ac:dyDescent="0.25">
      <c r="A151">
        <v>150</v>
      </c>
      <c r="B151" t="s">
        <v>83</v>
      </c>
      <c r="C151" t="s">
        <v>44</v>
      </c>
      <c r="D151" t="s">
        <v>83</v>
      </c>
      <c r="E151" t="s">
        <v>236</v>
      </c>
      <c r="F151" t="s">
        <v>45</v>
      </c>
      <c r="G151" t="s">
        <v>45</v>
      </c>
      <c r="H151">
        <v>1</v>
      </c>
      <c r="I151">
        <v>1</v>
      </c>
      <c r="J151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10</v>
      </c>
      <c r="V151" s="6">
        <v>88</v>
      </c>
      <c r="W151">
        <v>8</v>
      </c>
      <c r="X151">
        <v>90</v>
      </c>
      <c r="Y151">
        <v>0</v>
      </c>
      <c r="Z151">
        <v>0</v>
      </c>
      <c r="AA151">
        <v>0</v>
      </c>
      <c r="AB151">
        <v>5650</v>
      </c>
      <c r="AC151">
        <v>3897</v>
      </c>
      <c r="AD151">
        <v>0</v>
      </c>
      <c r="AE151">
        <v>98</v>
      </c>
      <c r="AF151">
        <v>98</v>
      </c>
      <c r="AG151">
        <v>0.32</v>
      </c>
      <c r="AH151">
        <v>553700</v>
      </c>
      <c r="AI151">
        <v>381906</v>
      </c>
      <c r="AJ151">
        <v>171794</v>
      </c>
      <c r="AK151">
        <v>0</v>
      </c>
      <c r="AL151" s="4">
        <v>0</v>
      </c>
      <c r="AM151">
        <v>0</v>
      </c>
      <c r="AN151" s="5">
        <v>8.1666666666666661</v>
      </c>
      <c r="AO151" s="4">
        <v>0</v>
      </c>
      <c r="AQ151">
        <v>0.5</v>
      </c>
    </row>
    <row r="152" spans="1:43" x14ac:dyDescent="0.25">
      <c r="A152">
        <v>151</v>
      </c>
      <c r="B152" t="s">
        <v>86</v>
      </c>
      <c r="C152" t="s">
        <v>44</v>
      </c>
      <c r="D152" t="s">
        <v>86</v>
      </c>
      <c r="E152" t="s">
        <v>237</v>
      </c>
      <c r="F152" t="s">
        <v>45</v>
      </c>
      <c r="G152" t="s">
        <v>45</v>
      </c>
      <c r="H152">
        <v>1</v>
      </c>
      <c r="I152">
        <v>1</v>
      </c>
      <c r="J152">
        <v>0.47249999999999998</v>
      </c>
      <c r="K152" s="6">
        <v>1</v>
      </c>
      <c r="L152" s="6">
        <v>0</v>
      </c>
      <c r="M152" s="6">
        <v>0</v>
      </c>
      <c r="N152" s="6">
        <v>0</v>
      </c>
      <c r="O152" s="6">
        <v>10</v>
      </c>
      <c r="P152" s="6">
        <v>3</v>
      </c>
      <c r="Q152" s="6">
        <v>29</v>
      </c>
      <c r="R152" s="6">
        <v>0</v>
      </c>
      <c r="S152" s="6">
        <v>32</v>
      </c>
      <c r="T152" s="6">
        <v>17</v>
      </c>
      <c r="U152" s="6">
        <v>31</v>
      </c>
      <c r="V152" s="6">
        <v>0</v>
      </c>
      <c r="W152">
        <v>1</v>
      </c>
      <c r="X152">
        <v>90</v>
      </c>
      <c r="Y152">
        <v>63</v>
      </c>
      <c r="Z152">
        <v>63</v>
      </c>
      <c r="AA152">
        <v>0</v>
      </c>
      <c r="AB152">
        <v>4419</v>
      </c>
      <c r="AC152">
        <v>2248.89</v>
      </c>
      <c r="AD152">
        <v>0</v>
      </c>
      <c r="AE152">
        <v>123</v>
      </c>
      <c r="AF152">
        <v>123</v>
      </c>
      <c r="AG152">
        <v>0.4910862186014936</v>
      </c>
      <c r="AH152">
        <v>543537</v>
      </c>
      <c r="AI152">
        <v>276613.46999999997</v>
      </c>
      <c r="AJ152">
        <v>266923.53000000003</v>
      </c>
      <c r="AK152">
        <v>141680.06999999998</v>
      </c>
      <c r="AL152" s="4">
        <v>1.9523809523809526</v>
      </c>
      <c r="AM152">
        <f t="shared" si="2"/>
        <v>6.1463414634146334</v>
      </c>
      <c r="AN152" s="5">
        <v>10.25</v>
      </c>
      <c r="AO152" s="4">
        <v>0.33</v>
      </c>
      <c r="AQ152">
        <v>0.5</v>
      </c>
    </row>
    <row r="153" spans="1:43" x14ac:dyDescent="0.25">
      <c r="A153">
        <v>152</v>
      </c>
      <c r="B153" t="s">
        <v>86</v>
      </c>
      <c r="C153" t="s">
        <v>44</v>
      </c>
      <c r="D153" t="s">
        <v>86</v>
      </c>
      <c r="E153" t="s">
        <v>238</v>
      </c>
      <c r="F153" t="s">
        <v>45</v>
      </c>
      <c r="G153" t="s">
        <v>45</v>
      </c>
      <c r="H153">
        <v>1</v>
      </c>
      <c r="I153">
        <v>1</v>
      </c>
      <c r="J153">
        <v>0.59250000000000003</v>
      </c>
      <c r="K153" s="6">
        <v>32</v>
      </c>
      <c r="L153" s="6">
        <v>59</v>
      </c>
      <c r="M153" s="6">
        <v>35</v>
      </c>
      <c r="N153" s="6">
        <v>0</v>
      </c>
      <c r="O153" s="6">
        <v>9</v>
      </c>
      <c r="P153" s="6">
        <v>20</v>
      </c>
      <c r="Q153" s="6">
        <v>0</v>
      </c>
      <c r="R153" s="6">
        <v>34</v>
      </c>
      <c r="S153" s="6">
        <v>0</v>
      </c>
      <c r="T153" s="6">
        <v>50</v>
      </c>
      <c r="U153" s="6">
        <v>10</v>
      </c>
      <c r="V153" s="6">
        <v>10</v>
      </c>
      <c r="W153">
        <v>0</v>
      </c>
      <c r="X153">
        <v>90</v>
      </c>
      <c r="Y153">
        <v>79</v>
      </c>
      <c r="Z153">
        <v>79</v>
      </c>
      <c r="AA153">
        <v>0</v>
      </c>
      <c r="AB153">
        <v>2035.24</v>
      </c>
      <c r="AC153">
        <v>1650</v>
      </c>
      <c r="AD153">
        <v>0</v>
      </c>
      <c r="AE153">
        <v>259</v>
      </c>
      <c r="AF153">
        <v>259</v>
      </c>
      <c r="AG153">
        <v>0.18928480179241761</v>
      </c>
      <c r="AH153">
        <v>527127.16</v>
      </c>
      <c r="AI153">
        <v>427350</v>
      </c>
      <c r="AJ153">
        <v>99777.160000000033</v>
      </c>
      <c r="AK153">
        <v>130350</v>
      </c>
      <c r="AL153" s="4">
        <v>3.278481012658228</v>
      </c>
      <c r="AM153">
        <f t="shared" si="2"/>
        <v>3.66023166023166</v>
      </c>
      <c r="AN153" s="5">
        <v>21.583333333333332</v>
      </c>
      <c r="AO153" s="4">
        <v>0.33</v>
      </c>
      <c r="AQ153">
        <v>0.5</v>
      </c>
    </row>
    <row r="154" spans="1:43" x14ac:dyDescent="0.25">
      <c r="A154">
        <v>153</v>
      </c>
      <c r="B154" t="s">
        <v>84</v>
      </c>
      <c r="C154" t="s">
        <v>44</v>
      </c>
      <c r="D154" t="s">
        <v>84</v>
      </c>
      <c r="E154" t="s">
        <v>239</v>
      </c>
      <c r="F154" t="s">
        <v>45</v>
      </c>
      <c r="G154" t="s">
        <v>45</v>
      </c>
      <c r="H154">
        <v>1</v>
      </c>
      <c r="I154">
        <v>1</v>
      </c>
      <c r="J154">
        <v>0.24397200000000002</v>
      </c>
      <c r="K154" s="6">
        <v>21</v>
      </c>
      <c r="L154" s="6">
        <v>4</v>
      </c>
      <c r="M154" s="6">
        <v>48</v>
      </c>
      <c r="N154" s="6">
        <v>12</v>
      </c>
      <c r="O154" s="6">
        <v>1</v>
      </c>
      <c r="P154" s="6">
        <v>43</v>
      </c>
      <c r="Q154" s="6">
        <v>0</v>
      </c>
      <c r="R154" s="6">
        <v>0</v>
      </c>
      <c r="S154" s="6">
        <v>0</v>
      </c>
      <c r="T154" s="6">
        <v>5</v>
      </c>
      <c r="U154" s="6">
        <v>1</v>
      </c>
      <c r="V154" s="6">
        <v>0</v>
      </c>
      <c r="W154">
        <v>1</v>
      </c>
      <c r="X154">
        <v>90</v>
      </c>
      <c r="Y154">
        <v>502</v>
      </c>
      <c r="Z154">
        <v>502</v>
      </c>
      <c r="AA154">
        <v>0</v>
      </c>
      <c r="AB154">
        <v>3902</v>
      </c>
      <c r="AC154">
        <v>1739.85</v>
      </c>
      <c r="AD154">
        <v>0</v>
      </c>
      <c r="AE154">
        <v>135</v>
      </c>
      <c r="AF154">
        <v>135</v>
      </c>
      <c r="AG154">
        <v>0.55411327524346488</v>
      </c>
      <c r="AH154">
        <v>526770</v>
      </c>
      <c r="AI154">
        <v>234879.75</v>
      </c>
      <c r="AJ154">
        <v>291890.25</v>
      </c>
      <c r="AK154">
        <v>873404.7</v>
      </c>
      <c r="AL154" s="4">
        <v>0.26892430278884466</v>
      </c>
      <c r="AM154">
        <f t="shared" si="2"/>
        <v>44.622222222222213</v>
      </c>
      <c r="AN154" s="5">
        <v>11.25</v>
      </c>
      <c r="AO154" s="4">
        <v>0.65637000000000023</v>
      </c>
      <c r="AQ154">
        <v>0.5</v>
      </c>
    </row>
    <row r="155" spans="1:43" x14ac:dyDescent="0.25">
      <c r="A155">
        <v>154</v>
      </c>
      <c r="B155" t="s">
        <v>85</v>
      </c>
      <c r="C155" t="s">
        <v>44</v>
      </c>
      <c r="D155" t="s">
        <v>85</v>
      </c>
      <c r="E155" t="s">
        <v>240</v>
      </c>
      <c r="F155" t="s">
        <v>45</v>
      </c>
      <c r="G155" t="s">
        <v>45</v>
      </c>
      <c r="H155">
        <v>1</v>
      </c>
      <c r="I155">
        <v>1</v>
      </c>
      <c r="J155">
        <v>2.0999999999999998E-2</v>
      </c>
      <c r="K155" s="6">
        <v>19</v>
      </c>
      <c r="L155" s="6">
        <v>-4</v>
      </c>
      <c r="M155" s="6">
        <v>0</v>
      </c>
      <c r="N155" s="6">
        <v>0</v>
      </c>
      <c r="O155" s="6">
        <v>4</v>
      </c>
      <c r="P155" s="6">
        <v>0</v>
      </c>
      <c r="Q155" s="6">
        <v>40</v>
      </c>
      <c r="R155" s="6">
        <v>10</v>
      </c>
      <c r="S155" s="6">
        <v>50</v>
      </c>
      <c r="T155" s="6">
        <v>1</v>
      </c>
      <c r="U155" s="6">
        <v>6</v>
      </c>
      <c r="V155" s="6">
        <v>11</v>
      </c>
      <c r="W155">
        <v>0</v>
      </c>
      <c r="X155">
        <v>90</v>
      </c>
      <c r="Y155">
        <v>35</v>
      </c>
      <c r="Z155">
        <v>35</v>
      </c>
      <c r="AA155">
        <v>0</v>
      </c>
      <c r="AB155">
        <v>3800</v>
      </c>
      <c r="AC155">
        <v>1574.86</v>
      </c>
      <c r="AD155">
        <v>0</v>
      </c>
      <c r="AE155">
        <v>137</v>
      </c>
      <c r="AF155">
        <v>137</v>
      </c>
      <c r="AG155">
        <v>0.5855631578947369</v>
      </c>
      <c r="AH155">
        <v>520600</v>
      </c>
      <c r="AI155">
        <v>215755.81999999998</v>
      </c>
      <c r="AJ155">
        <v>304844.18000000005</v>
      </c>
      <c r="AK155">
        <v>55120.1</v>
      </c>
      <c r="AL155" s="4">
        <v>3.9142857142857141</v>
      </c>
      <c r="AM155">
        <f t="shared" si="2"/>
        <v>3.0656934306569346</v>
      </c>
      <c r="AN155" s="5">
        <v>11.416666666666666</v>
      </c>
      <c r="AO155" s="4">
        <v>5.7599999999999998E-2</v>
      </c>
      <c r="AQ155">
        <v>0.5</v>
      </c>
    </row>
    <row r="156" spans="1:43" x14ac:dyDescent="0.25">
      <c r="A156">
        <v>155</v>
      </c>
      <c r="B156" t="s">
        <v>85</v>
      </c>
      <c r="C156" t="s">
        <v>44</v>
      </c>
      <c r="D156" t="s">
        <v>85</v>
      </c>
      <c r="E156" t="s">
        <v>241</v>
      </c>
      <c r="F156" t="s">
        <v>45</v>
      </c>
      <c r="G156" t="s">
        <v>45</v>
      </c>
      <c r="H156">
        <v>1</v>
      </c>
      <c r="I156">
        <v>1</v>
      </c>
      <c r="J156">
        <v>2.0399999999999998E-2</v>
      </c>
      <c r="K156" s="6">
        <v>9</v>
      </c>
      <c r="L156" s="6">
        <v>5</v>
      </c>
      <c r="M156" s="6">
        <v>2</v>
      </c>
      <c r="N156" s="6">
        <v>11</v>
      </c>
      <c r="O156" s="6">
        <v>3</v>
      </c>
      <c r="P156" s="6">
        <v>12</v>
      </c>
      <c r="Q156" s="6">
        <v>46</v>
      </c>
      <c r="R156" s="6">
        <v>45</v>
      </c>
      <c r="S156" s="6">
        <v>0</v>
      </c>
      <c r="T156" s="6">
        <v>0</v>
      </c>
      <c r="U156" s="6">
        <v>1</v>
      </c>
      <c r="V156" s="6">
        <v>2</v>
      </c>
      <c r="W156">
        <v>1</v>
      </c>
      <c r="X156">
        <v>90</v>
      </c>
      <c r="Y156">
        <v>34</v>
      </c>
      <c r="Z156">
        <v>34</v>
      </c>
      <c r="AA156">
        <v>0</v>
      </c>
      <c r="AB156">
        <v>3800</v>
      </c>
      <c r="AC156">
        <v>1653.26</v>
      </c>
      <c r="AD156">
        <v>0</v>
      </c>
      <c r="AE156">
        <v>136</v>
      </c>
      <c r="AF156">
        <v>136</v>
      </c>
      <c r="AG156">
        <v>0.56493157894736834</v>
      </c>
      <c r="AH156">
        <v>516800</v>
      </c>
      <c r="AI156">
        <v>224843.36</v>
      </c>
      <c r="AJ156">
        <v>291956.64</v>
      </c>
      <c r="AK156">
        <v>56210.84</v>
      </c>
      <c r="AL156" s="4">
        <v>4</v>
      </c>
      <c r="AM156">
        <f t="shared" si="2"/>
        <v>3</v>
      </c>
      <c r="AN156" s="5">
        <v>11.333333333333334</v>
      </c>
      <c r="AO156" s="4">
        <v>5.7599999999999998E-2</v>
      </c>
      <c r="AQ156">
        <v>0.5</v>
      </c>
    </row>
    <row r="157" spans="1:43" x14ac:dyDescent="0.25">
      <c r="A157">
        <v>156</v>
      </c>
      <c r="B157" t="s">
        <v>82</v>
      </c>
      <c r="C157" t="s">
        <v>44</v>
      </c>
      <c r="D157" t="s">
        <v>82</v>
      </c>
      <c r="E157" t="s">
        <v>242</v>
      </c>
      <c r="F157" t="s">
        <v>45</v>
      </c>
      <c r="G157" t="s">
        <v>45</v>
      </c>
      <c r="H157">
        <v>1</v>
      </c>
      <c r="I157">
        <v>1</v>
      </c>
      <c r="J157">
        <v>0.12154000000000001</v>
      </c>
      <c r="K157" s="6">
        <v>20</v>
      </c>
      <c r="L157" s="6">
        <v>17</v>
      </c>
      <c r="M157" s="6">
        <v>0</v>
      </c>
      <c r="N157" s="6">
        <v>0</v>
      </c>
      <c r="O157" s="6">
        <v>22</v>
      </c>
      <c r="P157" s="6">
        <v>18</v>
      </c>
      <c r="Q157" s="6">
        <v>23</v>
      </c>
      <c r="R157" s="6">
        <v>11</v>
      </c>
      <c r="S157" s="6">
        <v>10</v>
      </c>
      <c r="T157" s="6">
        <v>27</v>
      </c>
      <c r="U157" s="6">
        <v>44</v>
      </c>
      <c r="V157" s="6">
        <v>86</v>
      </c>
      <c r="W157">
        <v>1</v>
      </c>
      <c r="X157">
        <v>90</v>
      </c>
      <c r="Y157">
        <v>1030</v>
      </c>
      <c r="Z157">
        <v>1030</v>
      </c>
      <c r="AA157">
        <v>0</v>
      </c>
      <c r="AB157">
        <v>1790</v>
      </c>
      <c r="AC157">
        <v>835.82</v>
      </c>
      <c r="AD157">
        <v>0</v>
      </c>
      <c r="AE157">
        <v>278</v>
      </c>
      <c r="AF157">
        <v>278</v>
      </c>
      <c r="AG157">
        <v>0.53306145251396642</v>
      </c>
      <c r="AH157">
        <v>497620</v>
      </c>
      <c r="AI157">
        <v>232357.96000000002</v>
      </c>
      <c r="AJ157">
        <v>265262.03999999998</v>
      </c>
      <c r="AK157">
        <v>860894.60000000009</v>
      </c>
      <c r="AL157" s="4">
        <v>0.26990291262135924</v>
      </c>
      <c r="AM157">
        <f t="shared" si="2"/>
        <v>44.460431654676256</v>
      </c>
      <c r="AN157" s="5">
        <v>23.166666666666668</v>
      </c>
      <c r="AO157" s="4">
        <v>1.4994850000000004</v>
      </c>
      <c r="AQ157">
        <v>0.5</v>
      </c>
    </row>
    <row r="158" spans="1:43" x14ac:dyDescent="0.25">
      <c r="A158">
        <v>157</v>
      </c>
      <c r="B158" t="s">
        <v>86</v>
      </c>
      <c r="C158" t="s">
        <v>44</v>
      </c>
      <c r="D158" t="s">
        <v>86</v>
      </c>
      <c r="E158" t="s">
        <v>243</v>
      </c>
      <c r="F158" t="s">
        <v>45</v>
      </c>
      <c r="G158" t="s">
        <v>45</v>
      </c>
      <c r="H158">
        <v>1</v>
      </c>
      <c r="I158">
        <v>1</v>
      </c>
      <c r="J158">
        <v>3.9648000000000003E-2</v>
      </c>
      <c r="K158" s="6">
        <v>44</v>
      </c>
      <c r="L158" s="6">
        <v>17</v>
      </c>
      <c r="M158" s="6">
        <v>2</v>
      </c>
      <c r="N158" s="6">
        <v>0</v>
      </c>
      <c r="O158" s="6">
        <v>57</v>
      </c>
      <c r="P158" s="6">
        <v>48</v>
      </c>
      <c r="Q158" s="6">
        <v>23</v>
      </c>
      <c r="R158" s="6">
        <v>25</v>
      </c>
      <c r="S158" s="6">
        <v>0</v>
      </c>
      <c r="T158" s="6">
        <v>34</v>
      </c>
      <c r="U158" s="6">
        <v>42</v>
      </c>
      <c r="V158" s="6">
        <v>0</v>
      </c>
      <c r="W158">
        <v>0</v>
      </c>
      <c r="X158">
        <v>90</v>
      </c>
      <c r="Y158">
        <v>112</v>
      </c>
      <c r="Z158">
        <v>112</v>
      </c>
      <c r="AA158">
        <v>0</v>
      </c>
      <c r="AB158">
        <v>1700</v>
      </c>
      <c r="AC158">
        <v>416.17</v>
      </c>
      <c r="AD158">
        <v>0</v>
      </c>
      <c r="AE158">
        <v>292</v>
      </c>
      <c r="AF158">
        <v>292</v>
      </c>
      <c r="AG158">
        <v>0.75519411764705879</v>
      </c>
      <c r="AH158">
        <v>496400</v>
      </c>
      <c r="AI158">
        <v>121521.64</v>
      </c>
      <c r="AJ158">
        <v>374878.36</v>
      </c>
      <c r="AK158">
        <v>46611.040000000001</v>
      </c>
      <c r="AL158" s="4">
        <v>2.6071428571428572</v>
      </c>
      <c r="AM158">
        <f t="shared" si="2"/>
        <v>4.602739726027397</v>
      </c>
      <c r="AN158" s="5">
        <v>24.333333333333332</v>
      </c>
      <c r="AO158" s="4">
        <v>0.29205000000000003</v>
      </c>
      <c r="AQ158">
        <v>0.5</v>
      </c>
    </row>
    <row r="159" spans="1:43" x14ac:dyDescent="0.25">
      <c r="A159">
        <v>158</v>
      </c>
      <c r="B159" t="s">
        <v>82</v>
      </c>
      <c r="C159" t="s">
        <v>44</v>
      </c>
      <c r="D159" t="s">
        <v>82</v>
      </c>
      <c r="E159" t="s">
        <v>244</v>
      </c>
      <c r="F159" t="s">
        <v>45</v>
      </c>
      <c r="G159" t="s">
        <v>45</v>
      </c>
      <c r="H159">
        <v>1</v>
      </c>
      <c r="I159">
        <v>1</v>
      </c>
      <c r="J159">
        <v>5.8174000000000003E-2</v>
      </c>
      <c r="K159" s="6">
        <v>4</v>
      </c>
      <c r="L159" s="6">
        <v>30</v>
      </c>
      <c r="M159" s="6">
        <v>57</v>
      </c>
      <c r="N159" s="6">
        <v>0</v>
      </c>
      <c r="O159" s="6">
        <v>14</v>
      </c>
      <c r="P159" s="6">
        <v>9</v>
      </c>
      <c r="Q159" s="6">
        <v>87</v>
      </c>
      <c r="R159" s="6">
        <v>0</v>
      </c>
      <c r="S159" s="6">
        <v>24</v>
      </c>
      <c r="T159" s="6">
        <v>0</v>
      </c>
      <c r="U159" s="6">
        <v>48</v>
      </c>
      <c r="V159" s="6">
        <v>0</v>
      </c>
      <c r="W159">
        <v>0</v>
      </c>
      <c r="X159">
        <v>90</v>
      </c>
      <c r="Y159">
        <v>493</v>
      </c>
      <c r="Z159">
        <v>493</v>
      </c>
      <c r="AA159">
        <v>0</v>
      </c>
      <c r="AB159">
        <v>1790</v>
      </c>
      <c r="AC159">
        <v>943.36</v>
      </c>
      <c r="AD159">
        <v>0</v>
      </c>
      <c r="AE159">
        <v>273</v>
      </c>
      <c r="AF159">
        <v>273</v>
      </c>
      <c r="AG159">
        <v>0.47298324022346372</v>
      </c>
      <c r="AH159">
        <v>488670</v>
      </c>
      <c r="AI159">
        <v>257537.28</v>
      </c>
      <c r="AJ159">
        <v>231132.72</v>
      </c>
      <c r="AK159">
        <v>465076.47999999998</v>
      </c>
      <c r="AL159" s="4">
        <v>0.55375253549695747</v>
      </c>
      <c r="AM159">
        <f t="shared" si="2"/>
        <v>21.670329670329668</v>
      </c>
      <c r="AN159" s="5">
        <v>22.75</v>
      </c>
      <c r="AO159" s="4">
        <v>0.7497425000000002</v>
      </c>
      <c r="AQ159">
        <v>0.5</v>
      </c>
    </row>
    <row r="160" spans="1:43" x14ac:dyDescent="0.25">
      <c r="A160">
        <v>159</v>
      </c>
      <c r="B160" t="s">
        <v>82</v>
      </c>
      <c r="C160" t="s">
        <v>44</v>
      </c>
      <c r="D160" t="s">
        <v>82</v>
      </c>
      <c r="E160" t="s">
        <v>245</v>
      </c>
      <c r="F160" t="s">
        <v>45</v>
      </c>
      <c r="G160" t="s">
        <v>45</v>
      </c>
      <c r="H160">
        <v>1</v>
      </c>
      <c r="I160">
        <v>1</v>
      </c>
      <c r="J160">
        <v>7.1508000000000002E-2</v>
      </c>
      <c r="K160" s="6">
        <v>30</v>
      </c>
      <c r="L160" s="6">
        <v>7</v>
      </c>
      <c r="M160" s="6">
        <v>9</v>
      </c>
      <c r="N160" s="6">
        <v>52</v>
      </c>
      <c r="O160" s="6">
        <v>5</v>
      </c>
      <c r="P160" s="6">
        <v>16</v>
      </c>
      <c r="Q160" s="6">
        <v>9</v>
      </c>
      <c r="R160" s="6">
        <v>6</v>
      </c>
      <c r="S160" s="6">
        <v>46</v>
      </c>
      <c r="T160" s="6">
        <v>1</v>
      </c>
      <c r="U160" s="6">
        <v>3</v>
      </c>
      <c r="V160" s="6">
        <v>18</v>
      </c>
      <c r="W160">
        <v>0</v>
      </c>
      <c r="X160">
        <v>90</v>
      </c>
      <c r="Y160">
        <v>303</v>
      </c>
      <c r="Z160">
        <v>303</v>
      </c>
      <c r="AA160">
        <v>0</v>
      </c>
      <c r="AB160">
        <v>2377</v>
      </c>
      <c r="AC160">
        <v>1043.3900000000001</v>
      </c>
      <c r="AD160">
        <v>0</v>
      </c>
      <c r="AE160">
        <v>202</v>
      </c>
      <c r="AF160">
        <v>202</v>
      </c>
      <c r="AG160">
        <v>0.56104753891459824</v>
      </c>
      <c r="AH160">
        <v>480154</v>
      </c>
      <c r="AI160">
        <v>210764.78000000003</v>
      </c>
      <c r="AJ160">
        <v>269389.21999999997</v>
      </c>
      <c r="AK160">
        <v>316147.17000000004</v>
      </c>
      <c r="AL160" s="4">
        <v>0.66666666666666663</v>
      </c>
      <c r="AM160">
        <f t="shared" si="2"/>
        <v>18</v>
      </c>
      <c r="AN160" s="5">
        <v>16.833333333333332</v>
      </c>
      <c r="AO160" s="4">
        <v>0.92276000000000025</v>
      </c>
      <c r="AQ160">
        <v>0.5</v>
      </c>
    </row>
    <row r="161" spans="1:43" x14ac:dyDescent="0.25">
      <c r="A161">
        <v>160</v>
      </c>
      <c r="B161" t="s">
        <v>82</v>
      </c>
      <c r="C161" t="s">
        <v>44</v>
      </c>
      <c r="D161" t="s">
        <v>82</v>
      </c>
      <c r="E161" t="s">
        <v>246</v>
      </c>
      <c r="F161" t="s">
        <v>45</v>
      </c>
      <c r="G161" t="s">
        <v>45</v>
      </c>
      <c r="H161">
        <v>1</v>
      </c>
      <c r="I161">
        <v>1</v>
      </c>
      <c r="J161">
        <v>4.7170500000000004E-2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128</v>
      </c>
      <c r="W161">
        <v>1</v>
      </c>
      <c r="X161">
        <v>90</v>
      </c>
      <c r="Y161">
        <v>41</v>
      </c>
      <c r="Z161">
        <v>41</v>
      </c>
      <c r="AA161">
        <v>0</v>
      </c>
      <c r="AB161">
        <v>3750</v>
      </c>
      <c r="AC161">
        <v>1325.5</v>
      </c>
      <c r="AD161">
        <v>0</v>
      </c>
      <c r="AE161">
        <v>128</v>
      </c>
      <c r="AF161">
        <v>128</v>
      </c>
      <c r="AG161">
        <v>0.64653333333333329</v>
      </c>
      <c r="AH161">
        <v>480000</v>
      </c>
      <c r="AI161">
        <v>169664</v>
      </c>
      <c r="AJ161">
        <v>310336</v>
      </c>
      <c r="AK161">
        <v>54345.5</v>
      </c>
      <c r="AL161" s="4">
        <v>3.1219512195121952</v>
      </c>
      <c r="AM161">
        <f t="shared" si="2"/>
        <v>3.84375</v>
      </c>
      <c r="AN161" s="5">
        <v>10.666666666666666</v>
      </c>
      <c r="AO161" s="4">
        <v>0.17301750000000005</v>
      </c>
      <c r="AQ161">
        <v>0.5</v>
      </c>
    </row>
    <row r="162" spans="1:43" x14ac:dyDescent="0.25">
      <c r="A162">
        <v>161</v>
      </c>
      <c r="B162" t="s">
        <v>82</v>
      </c>
      <c r="C162" t="s">
        <v>44</v>
      </c>
      <c r="D162" t="s">
        <v>82</v>
      </c>
      <c r="E162" t="s">
        <v>247</v>
      </c>
      <c r="F162" t="s">
        <v>45</v>
      </c>
      <c r="G162" t="s">
        <v>45</v>
      </c>
      <c r="H162">
        <v>1</v>
      </c>
      <c r="I162">
        <v>1</v>
      </c>
      <c r="J162">
        <v>0.21145600000000001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121</v>
      </c>
      <c r="W162">
        <v>1</v>
      </c>
      <c r="X162">
        <v>90</v>
      </c>
      <c r="Y162">
        <v>224</v>
      </c>
      <c r="Z162">
        <v>224</v>
      </c>
      <c r="AA162">
        <v>0</v>
      </c>
      <c r="AB162">
        <v>3750</v>
      </c>
      <c r="AC162">
        <v>1386.6</v>
      </c>
      <c r="AD162">
        <v>0</v>
      </c>
      <c r="AE162">
        <v>121</v>
      </c>
      <c r="AF162">
        <v>121</v>
      </c>
      <c r="AG162">
        <v>0.63024000000000002</v>
      </c>
      <c r="AH162">
        <v>453750</v>
      </c>
      <c r="AI162">
        <v>167778.59999999998</v>
      </c>
      <c r="AJ162">
        <v>285971.40000000002</v>
      </c>
      <c r="AK162">
        <v>310598.39999999997</v>
      </c>
      <c r="AL162" s="4">
        <v>0.5401785714285714</v>
      </c>
      <c r="AM162">
        <f t="shared" si="2"/>
        <v>22.214876033057852</v>
      </c>
      <c r="AN162" s="5">
        <v>10.083333333333334</v>
      </c>
      <c r="AO162" s="4">
        <v>1.3264675000000004</v>
      </c>
      <c r="AQ162">
        <v>0.5</v>
      </c>
    </row>
    <row r="163" spans="1:43" x14ac:dyDescent="0.25">
      <c r="A163">
        <v>162</v>
      </c>
      <c r="B163" t="s">
        <v>83</v>
      </c>
      <c r="C163" t="s">
        <v>44</v>
      </c>
      <c r="D163" t="s">
        <v>83</v>
      </c>
      <c r="E163" t="s">
        <v>248</v>
      </c>
      <c r="F163" t="s">
        <v>45</v>
      </c>
      <c r="G163" t="s">
        <v>45</v>
      </c>
      <c r="H163">
        <v>1</v>
      </c>
      <c r="I163">
        <v>1</v>
      </c>
      <c r="J163">
        <v>11.384</v>
      </c>
      <c r="K163" s="6">
        <v>2</v>
      </c>
      <c r="L163" s="6">
        <v>0</v>
      </c>
      <c r="M163" s="6">
        <v>0</v>
      </c>
      <c r="N163" s="6">
        <v>1.8747947454844007</v>
      </c>
      <c r="O163" s="6">
        <v>0</v>
      </c>
      <c r="P163" s="6">
        <v>0</v>
      </c>
      <c r="Q163" s="6">
        <v>1</v>
      </c>
      <c r="R163" s="6">
        <v>0.37479474548440067</v>
      </c>
      <c r="S163" s="6">
        <v>0</v>
      </c>
      <c r="T163" s="6">
        <v>0</v>
      </c>
      <c r="U163" s="6">
        <v>0</v>
      </c>
      <c r="V163" s="6">
        <v>0</v>
      </c>
      <c r="W163">
        <v>5</v>
      </c>
      <c r="X163">
        <v>90</v>
      </c>
      <c r="Y163">
        <v>58.41543513957307</v>
      </c>
      <c r="Z163">
        <v>58.41543513957307</v>
      </c>
      <c r="AA163">
        <v>0</v>
      </c>
      <c r="AB163">
        <v>85260</v>
      </c>
      <c r="AC163">
        <v>54693.81</v>
      </c>
      <c r="AD163">
        <v>0</v>
      </c>
      <c r="AE163">
        <v>5.2495894909688019</v>
      </c>
      <c r="AF163">
        <v>5.2495894909688019</v>
      </c>
      <c r="AG163">
        <v>0.35850562983814221</v>
      </c>
      <c r="AH163">
        <v>447580.00000000006</v>
      </c>
      <c r="AI163">
        <v>287120.05019704433</v>
      </c>
      <c r="AJ163">
        <v>160459.94980295573</v>
      </c>
      <c r="AK163">
        <v>3194962.7105911328</v>
      </c>
      <c r="AL163" s="4">
        <v>8.9866479269149688E-2</v>
      </c>
      <c r="AM163">
        <f t="shared" si="2"/>
        <v>133.53143572098841</v>
      </c>
      <c r="AN163" s="5">
        <v>0.43746579091406684</v>
      </c>
      <c r="AO163" s="4">
        <v>11.497920000000001</v>
      </c>
      <c r="AQ163">
        <v>0.5</v>
      </c>
    </row>
    <row r="164" spans="1:43" x14ac:dyDescent="0.25">
      <c r="A164">
        <v>163</v>
      </c>
      <c r="B164" t="s">
        <v>86</v>
      </c>
      <c r="C164" t="s">
        <v>44</v>
      </c>
      <c r="D164" t="s">
        <v>86</v>
      </c>
      <c r="E164" t="s">
        <v>249</v>
      </c>
      <c r="F164" t="s">
        <v>45</v>
      </c>
      <c r="G164" t="s">
        <v>45</v>
      </c>
      <c r="H164">
        <v>1</v>
      </c>
      <c r="I164">
        <v>1</v>
      </c>
      <c r="J164">
        <v>3.3750000000000002E-2</v>
      </c>
      <c r="K164" s="6">
        <v>0</v>
      </c>
      <c r="L164" s="6">
        <v>0</v>
      </c>
      <c r="M164" s="6">
        <v>0</v>
      </c>
      <c r="N164" s="6">
        <v>1</v>
      </c>
      <c r="O164" s="6">
        <v>44</v>
      </c>
      <c r="P164" s="6">
        <v>24</v>
      </c>
      <c r="Q164" s="6">
        <v>7</v>
      </c>
      <c r="R164" s="6">
        <v>57</v>
      </c>
      <c r="S164" s="6">
        <v>0</v>
      </c>
      <c r="T164" s="6">
        <v>0</v>
      </c>
      <c r="U164" s="6">
        <v>0</v>
      </c>
      <c r="V164" s="6">
        <v>0</v>
      </c>
      <c r="W164">
        <v>1</v>
      </c>
      <c r="X164">
        <v>90</v>
      </c>
      <c r="Y164">
        <v>27</v>
      </c>
      <c r="Z164">
        <v>27</v>
      </c>
      <c r="AA164">
        <v>0</v>
      </c>
      <c r="AB164">
        <v>3124</v>
      </c>
      <c r="AC164">
        <v>892.69</v>
      </c>
      <c r="AD164">
        <v>0</v>
      </c>
      <c r="AE164">
        <v>133</v>
      </c>
      <c r="AF164">
        <v>133</v>
      </c>
      <c r="AG164">
        <v>0.71424775928297057</v>
      </c>
      <c r="AH164">
        <v>415492</v>
      </c>
      <c r="AI164">
        <v>118727.77</v>
      </c>
      <c r="AJ164">
        <v>296764.23</v>
      </c>
      <c r="AK164">
        <v>24102.63</v>
      </c>
      <c r="AL164" s="4">
        <v>4.9259259259259256</v>
      </c>
      <c r="AM164">
        <f t="shared" si="2"/>
        <v>2.4360902255639099</v>
      </c>
      <c r="AN164" s="5">
        <v>11.083333333333334</v>
      </c>
      <c r="AO164" s="4">
        <v>0.33</v>
      </c>
      <c r="AQ164">
        <v>0.5</v>
      </c>
    </row>
    <row r="165" spans="1:43" x14ac:dyDescent="0.25">
      <c r="A165">
        <v>164</v>
      </c>
      <c r="B165" t="s">
        <v>86</v>
      </c>
      <c r="C165" t="s">
        <v>44</v>
      </c>
      <c r="D165" t="s">
        <v>86</v>
      </c>
      <c r="E165" t="s">
        <v>250</v>
      </c>
      <c r="F165" t="s">
        <v>45</v>
      </c>
      <c r="G165" t="s">
        <v>45</v>
      </c>
      <c r="H165">
        <v>1</v>
      </c>
      <c r="I165">
        <v>1</v>
      </c>
      <c r="J165">
        <v>5.5999999999999995E-4</v>
      </c>
      <c r="K165" s="6">
        <v>10</v>
      </c>
      <c r="L165" s="6">
        <v>70</v>
      </c>
      <c r="M165" s="6">
        <v>3</v>
      </c>
      <c r="N165" s="6">
        <v>8</v>
      </c>
      <c r="O165" s="6">
        <v>29</v>
      </c>
      <c r="P165" s="6">
        <v>17</v>
      </c>
      <c r="Q165" s="6">
        <v>62</v>
      </c>
      <c r="R165" s="6">
        <v>12</v>
      </c>
      <c r="S165" s="6">
        <v>30</v>
      </c>
      <c r="T165" s="6">
        <v>16</v>
      </c>
      <c r="U165" s="6">
        <v>7</v>
      </c>
      <c r="V165" s="6">
        <v>0</v>
      </c>
      <c r="W165">
        <v>1</v>
      </c>
      <c r="X165">
        <v>90</v>
      </c>
      <c r="Y165">
        <v>8</v>
      </c>
      <c r="Z165">
        <v>8</v>
      </c>
      <c r="AA165">
        <v>0</v>
      </c>
      <c r="AB165">
        <v>1538.9237992125984</v>
      </c>
      <c r="AC165">
        <v>1007.57</v>
      </c>
      <c r="AD165">
        <v>0</v>
      </c>
      <c r="AE165">
        <v>264</v>
      </c>
      <c r="AF165">
        <v>264</v>
      </c>
      <c r="AG165">
        <v>0.3453</v>
      </c>
      <c r="AH165">
        <v>406275.88299212599</v>
      </c>
      <c r="AI165">
        <v>265998.48000000004</v>
      </c>
      <c r="AJ165">
        <v>140277.40299212595</v>
      </c>
      <c r="AK165">
        <v>8060.56</v>
      </c>
      <c r="AL165" s="4">
        <v>33</v>
      </c>
      <c r="AM165">
        <f t="shared" si="2"/>
        <v>0.36363636363636365</v>
      </c>
      <c r="AN165" s="5">
        <v>22</v>
      </c>
      <c r="AO165" s="4">
        <v>3.3599999999999998E-2</v>
      </c>
      <c r="AQ165">
        <v>0.5</v>
      </c>
    </row>
    <row r="166" spans="1:43" x14ac:dyDescent="0.25">
      <c r="A166">
        <v>165</v>
      </c>
      <c r="B166" t="s">
        <v>82</v>
      </c>
      <c r="C166" t="s">
        <v>44</v>
      </c>
      <c r="D166" t="s">
        <v>82</v>
      </c>
      <c r="E166" t="s">
        <v>251</v>
      </c>
      <c r="F166" t="s">
        <v>45</v>
      </c>
      <c r="G166" t="s">
        <v>45</v>
      </c>
      <c r="H166">
        <v>1</v>
      </c>
      <c r="I166">
        <v>1</v>
      </c>
      <c r="J166">
        <v>7.0800000000000004E-3</v>
      </c>
      <c r="K166" s="6">
        <v>5</v>
      </c>
      <c r="L166" s="6">
        <v>0</v>
      </c>
      <c r="M166" s="6">
        <v>0</v>
      </c>
      <c r="N166" s="6">
        <v>0</v>
      </c>
      <c r="O166" s="6">
        <v>1</v>
      </c>
      <c r="P166" s="6">
        <v>4</v>
      </c>
      <c r="Q166" s="6">
        <v>90</v>
      </c>
      <c r="R166" s="6">
        <v>32</v>
      </c>
      <c r="S166" s="6">
        <v>1</v>
      </c>
      <c r="T166" s="6">
        <v>6</v>
      </c>
      <c r="U166" s="6">
        <v>46</v>
      </c>
      <c r="V166" s="6">
        <v>40</v>
      </c>
      <c r="W166">
        <v>0</v>
      </c>
      <c r="X166">
        <v>90</v>
      </c>
      <c r="Y166">
        <v>60</v>
      </c>
      <c r="Z166">
        <v>60</v>
      </c>
      <c r="AA166">
        <v>0</v>
      </c>
      <c r="AB166">
        <v>1790</v>
      </c>
      <c r="AC166">
        <v>943.36</v>
      </c>
      <c r="AD166">
        <v>0</v>
      </c>
      <c r="AE166">
        <v>225</v>
      </c>
      <c r="AF166">
        <v>225</v>
      </c>
      <c r="AG166">
        <v>0.47298324022346372</v>
      </c>
      <c r="AH166">
        <v>402750</v>
      </c>
      <c r="AI166">
        <v>212256</v>
      </c>
      <c r="AJ166">
        <v>190494</v>
      </c>
      <c r="AK166">
        <v>56601.599999999999</v>
      </c>
      <c r="AL166" s="4">
        <v>3.75</v>
      </c>
      <c r="AM166">
        <f t="shared" si="2"/>
        <v>3.2</v>
      </c>
      <c r="AN166" s="5">
        <v>18.75</v>
      </c>
      <c r="AO166" s="4">
        <v>0.11534500000000003</v>
      </c>
      <c r="AQ166">
        <v>0.5</v>
      </c>
    </row>
    <row r="167" spans="1:43" x14ac:dyDescent="0.25">
      <c r="A167">
        <v>166</v>
      </c>
      <c r="B167" t="s">
        <v>85</v>
      </c>
      <c r="C167" t="s">
        <v>44</v>
      </c>
      <c r="D167" t="s">
        <v>85</v>
      </c>
      <c r="E167" t="s">
        <v>252</v>
      </c>
      <c r="F167" t="s">
        <v>45</v>
      </c>
      <c r="G167" t="s">
        <v>45</v>
      </c>
      <c r="H167">
        <v>1</v>
      </c>
      <c r="I167">
        <v>1</v>
      </c>
      <c r="J167">
        <v>1.5599999999999999E-2</v>
      </c>
      <c r="K167" s="6">
        <v>5</v>
      </c>
      <c r="L167" s="6">
        <v>2</v>
      </c>
      <c r="M167" s="6">
        <v>-9</v>
      </c>
      <c r="N167" s="6">
        <v>14</v>
      </c>
      <c r="O167" s="6">
        <v>0</v>
      </c>
      <c r="P167" s="6">
        <v>20</v>
      </c>
      <c r="Q167" s="6">
        <v>0</v>
      </c>
      <c r="R167" s="6">
        <v>71</v>
      </c>
      <c r="S167" s="6">
        <v>0</v>
      </c>
      <c r="T167" s="6">
        <v>0</v>
      </c>
      <c r="U167" s="6">
        <v>0</v>
      </c>
      <c r="V167" s="6">
        <v>1</v>
      </c>
      <c r="W167">
        <v>1</v>
      </c>
      <c r="X167">
        <v>90</v>
      </c>
      <c r="Y167">
        <v>26</v>
      </c>
      <c r="Z167">
        <v>26</v>
      </c>
      <c r="AA167">
        <v>0</v>
      </c>
      <c r="AB167">
        <v>3800</v>
      </c>
      <c r="AC167">
        <v>1634.02</v>
      </c>
      <c r="AD167">
        <v>0</v>
      </c>
      <c r="AE167">
        <v>104</v>
      </c>
      <c r="AF167">
        <v>104</v>
      </c>
      <c r="AG167">
        <v>0.56999473684210522</v>
      </c>
      <c r="AH167">
        <v>395200</v>
      </c>
      <c r="AI167">
        <v>169938.08</v>
      </c>
      <c r="AJ167">
        <v>225261.92</v>
      </c>
      <c r="AK167">
        <v>42484.52</v>
      </c>
      <c r="AL167" s="4">
        <v>4</v>
      </c>
      <c r="AM167">
        <f t="shared" si="2"/>
        <v>3</v>
      </c>
      <c r="AN167" s="5">
        <v>8.6666666666666661</v>
      </c>
      <c r="AO167" s="4">
        <v>8.6400000000000005E-2</v>
      </c>
      <c r="AQ167">
        <v>0.5</v>
      </c>
    </row>
    <row r="168" spans="1:43" x14ac:dyDescent="0.25">
      <c r="A168">
        <v>167</v>
      </c>
      <c r="B168" t="s">
        <v>82</v>
      </c>
      <c r="C168" t="s">
        <v>44</v>
      </c>
      <c r="D168" t="s">
        <v>82</v>
      </c>
      <c r="E168" t="s">
        <v>253</v>
      </c>
      <c r="F168" t="s">
        <v>45</v>
      </c>
      <c r="G168" t="s">
        <v>45</v>
      </c>
      <c r="H168">
        <v>1</v>
      </c>
      <c r="I168">
        <v>1</v>
      </c>
      <c r="J168">
        <v>3.1387999999999999E-2</v>
      </c>
      <c r="K168" s="6">
        <v>2</v>
      </c>
      <c r="L168" s="6">
        <v>3</v>
      </c>
      <c r="M168" s="6">
        <v>16</v>
      </c>
      <c r="N168" s="6">
        <v>1</v>
      </c>
      <c r="O168" s="6">
        <v>5</v>
      </c>
      <c r="P168" s="6">
        <v>18</v>
      </c>
      <c r="Q168" s="6">
        <v>10</v>
      </c>
      <c r="R168" s="6">
        <v>9</v>
      </c>
      <c r="S168" s="6">
        <v>51</v>
      </c>
      <c r="T168" s="6">
        <v>22</v>
      </c>
      <c r="U168" s="6">
        <v>9</v>
      </c>
      <c r="V168" s="6">
        <v>8</v>
      </c>
      <c r="W168">
        <v>1</v>
      </c>
      <c r="X168">
        <v>90</v>
      </c>
      <c r="Y168">
        <v>133</v>
      </c>
      <c r="Z168">
        <v>133</v>
      </c>
      <c r="AA168">
        <v>0</v>
      </c>
      <c r="AB168">
        <v>2443</v>
      </c>
      <c r="AC168">
        <v>543.70000000000005</v>
      </c>
      <c r="AD168">
        <v>0</v>
      </c>
      <c r="AE168">
        <v>154</v>
      </c>
      <c r="AF168">
        <v>154</v>
      </c>
      <c r="AG168">
        <v>0.77744576340564875</v>
      </c>
      <c r="AH168">
        <v>376222</v>
      </c>
      <c r="AI168">
        <v>83729.8</v>
      </c>
      <c r="AJ168">
        <v>292492.2</v>
      </c>
      <c r="AK168">
        <v>72312.100000000006</v>
      </c>
      <c r="AL168" s="4">
        <v>1.1578947368421053</v>
      </c>
      <c r="AM168">
        <f t="shared" si="2"/>
        <v>10.363636363636363</v>
      </c>
      <c r="AN168" s="5">
        <v>12.833333333333334</v>
      </c>
      <c r="AO168" s="4">
        <v>0.46138000000000012</v>
      </c>
      <c r="AQ168">
        <v>0.5</v>
      </c>
    </row>
    <row r="169" spans="1:43" x14ac:dyDescent="0.25">
      <c r="A169">
        <v>168</v>
      </c>
      <c r="B169" t="s">
        <v>82</v>
      </c>
      <c r="C169" t="s">
        <v>44</v>
      </c>
      <c r="D169" t="s">
        <v>82</v>
      </c>
      <c r="E169" t="s">
        <v>254</v>
      </c>
      <c r="F169" t="s">
        <v>45</v>
      </c>
      <c r="G169" t="s">
        <v>45</v>
      </c>
      <c r="H169">
        <v>1</v>
      </c>
      <c r="I169">
        <v>1</v>
      </c>
      <c r="J169">
        <v>1.072384</v>
      </c>
      <c r="K169" s="6">
        <v>0</v>
      </c>
      <c r="L169" s="6">
        <v>0</v>
      </c>
      <c r="M169" s="6">
        <v>0</v>
      </c>
      <c r="N169" s="6">
        <v>0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100</v>
      </c>
      <c r="W169">
        <v>3</v>
      </c>
      <c r="X169">
        <v>90</v>
      </c>
      <c r="Y169">
        <v>1136</v>
      </c>
      <c r="Z169">
        <v>1136</v>
      </c>
      <c r="AA169">
        <v>0</v>
      </c>
      <c r="AB169">
        <v>3750</v>
      </c>
      <c r="AC169">
        <v>1414.74</v>
      </c>
      <c r="AD169">
        <v>0</v>
      </c>
      <c r="AE169">
        <v>100</v>
      </c>
      <c r="AF169">
        <v>100</v>
      </c>
      <c r="AG169">
        <v>0.62273600000000007</v>
      </c>
      <c r="AH169">
        <v>375000</v>
      </c>
      <c r="AI169">
        <v>141474</v>
      </c>
      <c r="AJ169">
        <v>233526</v>
      </c>
      <c r="AK169">
        <v>1607144.64</v>
      </c>
      <c r="AL169" s="4">
        <v>8.8028169014084515E-2</v>
      </c>
      <c r="AM169">
        <f t="shared" si="2"/>
        <v>136.32</v>
      </c>
      <c r="AN169" s="5">
        <v>8.3333333333333339</v>
      </c>
      <c r="AO169" s="4">
        <v>6.5746650000000013</v>
      </c>
      <c r="AQ169">
        <v>0.5</v>
      </c>
    </row>
    <row r="170" spans="1:43" x14ac:dyDescent="0.25">
      <c r="A170">
        <v>169</v>
      </c>
      <c r="B170" t="s">
        <v>86</v>
      </c>
      <c r="C170" t="s">
        <v>44</v>
      </c>
      <c r="D170" t="s">
        <v>86</v>
      </c>
      <c r="E170" t="s">
        <v>255</v>
      </c>
      <c r="F170" t="s">
        <v>45</v>
      </c>
      <c r="G170" t="s">
        <v>45</v>
      </c>
      <c r="H170">
        <v>1</v>
      </c>
      <c r="I170">
        <v>1</v>
      </c>
      <c r="J170">
        <v>0.43542000000000003</v>
      </c>
      <c r="K170" s="6">
        <v>5</v>
      </c>
      <c r="L170" s="6">
        <v>0</v>
      </c>
      <c r="M170" s="6">
        <v>20</v>
      </c>
      <c r="N170" s="6">
        <v>6</v>
      </c>
      <c r="O170" s="6">
        <v>22</v>
      </c>
      <c r="P170" s="6">
        <v>18</v>
      </c>
      <c r="Q170" s="6">
        <v>27</v>
      </c>
      <c r="R170" s="6">
        <v>33</v>
      </c>
      <c r="S170" s="6">
        <v>19</v>
      </c>
      <c r="T170" s="6">
        <v>23</v>
      </c>
      <c r="U170" s="6">
        <v>6</v>
      </c>
      <c r="V170" s="6">
        <v>34</v>
      </c>
      <c r="W170">
        <v>1</v>
      </c>
      <c r="X170">
        <v>90</v>
      </c>
      <c r="Y170">
        <v>123</v>
      </c>
      <c r="Z170">
        <v>123</v>
      </c>
      <c r="AA170">
        <v>0</v>
      </c>
      <c r="AB170">
        <v>1700</v>
      </c>
      <c r="AC170">
        <v>850</v>
      </c>
      <c r="AD170">
        <v>0</v>
      </c>
      <c r="AE170">
        <v>213</v>
      </c>
      <c r="AF170">
        <v>213</v>
      </c>
      <c r="AG170">
        <v>0.5</v>
      </c>
      <c r="AH170">
        <v>362100</v>
      </c>
      <c r="AI170">
        <v>181050</v>
      </c>
      <c r="AJ170">
        <v>181050</v>
      </c>
      <c r="AK170">
        <v>104550</v>
      </c>
      <c r="AL170" s="4">
        <v>1.7317073170731707</v>
      </c>
      <c r="AM170">
        <f t="shared" si="2"/>
        <v>6.929577464788732</v>
      </c>
      <c r="AN170" s="5">
        <v>17.75</v>
      </c>
      <c r="AO170" s="4">
        <v>0.38940000000000002</v>
      </c>
      <c r="AQ170">
        <v>0.5</v>
      </c>
    </row>
    <row r="171" spans="1:43" x14ac:dyDescent="0.25">
      <c r="A171">
        <v>170</v>
      </c>
      <c r="B171" t="s">
        <v>82</v>
      </c>
      <c r="C171" t="s">
        <v>44</v>
      </c>
      <c r="D171" t="s">
        <v>82</v>
      </c>
      <c r="E171" t="s">
        <v>256</v>
      </c>
      <c r="F171" t="s">
        <v>45</v>
      </c>
      <c r="G171" t="s">
        <v>45</v>
      </c>
      <c r="H171">
        <v>1</v>
      </c>
      <c r="I171">
        <v>1</v>
      </c>
      <c r="J171">
        <v>8.9680000000000003E-3</v>
      </c>
      <c r="K171" s="6">
        <v>35</v>
      </c>
      <c r="L171" s="6">
        <v>18</v>
      </c>
      <c r="M171" s="6">
        <v>12</v>
      </c>
      <c r="N171" s="6">
        <v>41</v>
      </c>
      <c r="O171" s="6">
        <v>25</v>
      </c>
      <c r="P171" s="6">
        <v>0</v>
      </c>
      <c r="Q171" s="6">
        <v>2</v>
      </c>
      <c r="R171" s="6">
        <v>0</v>
      </c>
      <c r="S171" s="6">
        <v>0</v>
      </c>
      <c r="T171" s="6">
        <v>2</v>
      </c>
      <c r="U171" s="6">
        <v>14</v>
      </c>
      <c r="V171" s="6">
        <v>0</v>
      </c>
      <c r="W171">
        <v>1</v>
      </c>
      <c r="X171">
        <v>90</v>
      </c>
      <c r="Y171">
        <v>38</v>
      </c>
      <c r="Z171">
        <v>38</v>
      </c>
      <c r="AA171">
        <v>0</v>
      </c>
      <c r="AB171">
        <v>2400</v>
      </c>
      <c r="AC171">
        <v>723.8</v>
      </c>
      <c r="AD171">
        <v>0</v>
      </c>
      <c r="AE171">
        <v>149</v>
      </c>
      <c r="AF171">
        <v>149</v>
      </c>
      <c r="AG171">
        <v>0.69841666666666669</v>
      </c>
      <c r="AH171">
        <v>357600</v>
      </c>
      <c r="AI171">
        <v>107846.2</v>
      </c>
      <c r="AJ171">
        <v>249753.8</v>
      </c>
      <c r="AK171">
        <v>27504.399999999998</v>
      </c>
      <c r="AL171" s="4">
        <v>3.9210526315789478</v>
      </c>
      <c r="AM171">
        <f t="shared" si="2"/>
        <v>3.060402684563758</v>
      </c>
      <c r="AN171" s="5">
        <v>12.416666666666666</v>
      </c>
      <c r="AO171" s="4">
        <v>0.11534500000000003</v>
      </c>
      <c r="AQ171">
        <v>0.5</v>
      </c>
    </row>
    <row r="172" spans="1:43" x14ac:dyDescent="0.25">
      <c r="A172">
        <v>171</v>
      </c>
      <c r="B172" t="s">
        <v>86</v>
      </c>
      <c r="C172" t="s">
        <v>44</v>
      </c>
      <c r="D172" t="s">
        <v>86</v>
      </c>
      <c r="E172" t="s">
        <v>257</v>
      </c>
      <c r="F172" t="s">
        <v>45</v>
      </c>
      <c r="G172" t="s">
        <v>45</v>
      </c>
      <c r="H172">
        <v>1</v>
      </c>
      <c r="I172">
        <v>1</v>
      </c>
      <c r="J172">
        <v>8.8500000000000002E-3</v>
      </c>
      <c r="K172" s="6">
        <v>29</v>
      </c>
      <c r="L172" s="6">
        <v>59</v>
      </c>
      <c r="M172" s="6">
        <v>15</v>
      </c>
      <c r="N172" s="6">
        <v>5</v>
      </c>
      <c r="O172" s="6">
        <v>51</v>
      </c>
      <c r="P172" s="6">
        <v>6</v>
      </c>
      <c r="Q172" s="6">
        <v>40</v>
      </c>
      <c r="R172" s="6">
        <v>0</v>
      </c>
      <c r="S172" s="6">
        <v>4</v>
      </c>
      <c r="T172" s="6">
        <v>0</v>
      </c>
      <c r="U172" s="6">
        <v>0</v>
      </c>
      <c r="V172" s="6">
        <v>0</v>
      </c>
      <c r="W172">
        <v>1</v>
      </c>
      <c r="X172">
        <v>90</v>
      </c>
      <c r="Y172">
        <v>25</v>
      </c>
      <c r="Z172">
        <v>25</v>
      </c>
      <c r="AA172">
        <v>0</v>
      </c>
      <c r="AB172">
        <v>1700</v>
      </c>
      <c r="AC172">
        <v>335.72</v>
      </c>
      <c r="AD172">
        <v>0</v>
      </c>
      <c r="AE172">
        <v>209</v>
      </c>
      <c r="AF172">
        <v>209</v>
      </c>
      <c r="AG172">
        <v>0.80251764705882356</v>
      </c>
      <c r="AH172">
        <v>355300</v>
      </c>
      <c r="AI172">
        <v>70165.48000000001</v>
      </c>
      <c r="AJ172">
        <v>285134.52</v>
      </c>
      <c r="AK172">
        <v>8393</v>
      </c>
      <c r="AL172" s="4">
        <v>8.3600000000000012</v>
      </c>
      <c r="AM172">
        <f t="shared" si="2"/>
        <v>1.435406698564593</v>
      </c>
      <c r="AN172" s="5">
        <v>17.416666666666668</v>
      </c>
      <c r="AO172" s="4">
        <v>9.7350000000000006E-2</v>
      </c>
      <c r="AQ172">
        <v>0.5</v>
      </c>
    </row>
    <row r="173" spans="1:43" x14ac:dyDescent="0.25">
      <c r="A173">
        <v>172</v>
      </c>
      <c r="B173" t="s">
        <v>82</v>
      </c>
      <c r="C173" t="s">
        <v>44</v>
      </c>
      <c r="D173" t="s">
        <v>82</v>
      </c>
      <c r="E173" t="s">
        <v>258</v>
      </c>
      <c r="F173" t="s">
        <v>45</v>
      </c>
      <c r="G173" t="s">
        <v>45</v>
      </c>
      <c r="H173">
        <v>1</v>
      </c>
      <c r="I173">
        <v>1</v>
      </c>
      <c r="J173">
        <v>0.59188800000000008</v>
      </c>
      <c r="K173" s="6">
        <v>1</v>
      </c>
      <c r="L173" s="6">
        <v>14</v>
      </c>
      <c r="M173" s="6">
        <v>7</v>
      </c>
      <c r="N173" s="6">
        <v>2</v>
      </c>
      <c r="O173" s="6">
        <v>43</v>
      </c>
      <c r="P173" s="6">
        <v>23</v>
      </c>
      <c r="Q173" s="6">
        <v>15</v>
      </c>
      <c r="R173" s="6">
        <v>14</v>
      </c>
      <c r="S173" s="6">
        <v>6</v>
      </c>
      <c r="T173" s="6">
        <v>16</v>
      </c>
      <c r="U173" s="6">
        <v>4</v>
      </c>
      <c r="V173" s="6">
        <v>3</v>
      </c>
      <c r="W173">
        <v>2</v>
      </c>
      <c r="X173">
        <v>90</v>
      </c>
      <c r="Y173">
        <v>2508</v>
      </c>
      <c r="Z173">
        <v>2508</v>
      </c>
      <c r="AA173">
        <v>0</v>
      </c>
      <c r="AB173">
        <v>2377</v>
      </c>
      <c r="AC173">
        <v>581.57000000000005</v>
      </c>
      <c r="AD173">
        <v>0</v>
      </c>
      <c r="AE173">
        <v>148</v>
      </c>
      <c r="AF173">
        <v>148</v>
      </c>
      <c r="AG173">
        <v>0.7553344551956247</v>
      </c>
      <c r="AH173">
        <v>351796</v>
      </c>
      <c r="AI173">
        <v>86072.36</v>
      </c>
      <c r="AJ173">
        <v>265723.64</v>
      </c>
      <c r="AK173">
        <v>1458577.56</v>
      </c>
      <c r="AL173" s="4">
        <v>5.9011164274322167E-2</v>
      </c>
      <c r="AM173">
        <f t="shared" si="2"/>
        <v>203.35135135135135</v>
      </c>
      <c r="AN173" s="5">
        <v>12.333333333333334</v>
      </c>
      <c r="AO173" s="4">
        <v>7.2667350000000024</v>
      </c>
      <c r="AQ173">
        <v>0.5</v>
      </c>
    </row>
    <row r="174" spans="1:43" x14ac:dyDescent="0.25">
      <c r="A174">
        <v>173</v>
      </c>
      <c r="B174" t="s">
        <v>86</v>
      </c>
      <c r="C174" t="s">
        <v>44</v>
      </c>
      <c r="D174" t="s">
        <v>86</v>
      </c>
      <c r="E174" t="s">
        <v>259</v>
      </c>
      <c r="F174" t="s">
        <v>45</v>
      </c>
      <c r="G174" t="s">
        <v>45</v>
      </c>
      <c r="H174">
        <v>1</v>
      </c>
      <c r="I174">
        <v>1</v>
      </c>
      <c r="J174">
        <v>0.41249999999999998</v>
      </c>
      <c r="K174" s="6">
        <v>46</v>
      </c>
      <c r="L174" s="6">
        <v>12</v>
      </c>
      <c r="M174" s="6">
        <v>0</v>
      </c>
      <c r="N174" s="6">
        <v>0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19</v>
      </c>
      <c r="U174" s="6">
        <v>10</v>
      </c>
      <c r="V174" s="6">
        <v>0</v>
      </c>
      <c r="W174">
        <v>0</v>
      </c>
      <c r="X174">
        <v>90</v>
      </c>
      <c r="Y174">
        <v>55</v>
      </c>
      <c r="Z174">
        <v>55</v>
      </c>
      <c r="AA174">
        <v>0</v>
      </c>
      <c r="AB174">
        <v>3910.85</v>
      </c>
      <c r="AC174">
        <v>1650</v>
      </c>
      <c r="AD174">
        <v>0</v>
      </c>
      <c r="AE174">
        <v>87</v>
      </c>
      <c r="AF174">
        <v>87</v>
      </c>
      <c r="AG174">
        <v>0.57809683316925986</v>
      </c>
      <c r="AH174">
        <v>340243.95</v>
      </c>
      <c r="AI174">
        <v>143550</v>
      </c>
      <c r="AJ174">
        <v>196693.95</v>
      </c>
      <c r="AK174">
        <v>90750</v>
      </c>
      <c r="AL174" s="4">
        <v>1.5818181818181818</v>
      </c>
      <c r="AM174">
        <f t="shared" si="2"/>
        <v>7.5862068965517242</v>
      </c>
      <c r="AN174" s="5">
        <v>7.25</v>
      </c>
      <c r="AO174" s="4">
        <v>0.33</v>
      </c>
      <c r="AQ174">
        <v>0.5</v>
      </c>
    </row>
    <row r="175" spans="1:43" x14ac:dyDescent="0.25">
      <c r="A175">
        <v>174</v>
      </c>
      <c r="B175" t="s">
        <v>82</v>
      </c>
      <c r="C175" t="s">
        <v>44</v>
      </c>
      <c r="D175" t="s">
        <v>82</v>
      </c>
      <c r="E175" t="s">
        <v>260</v>
      </c>
      <c r="F175" t="s">
        <v>45</v>
      </c>
      <c r="G175" t="s">
        <v>45</v>
      </c>
      <c r="H175">
        <v>1</v>
      </c>
      <c r="I175">
        <v>1</v>
      </c>
      <c r="J175">
        <v>6.195E-3</v>
      </c>
      <c r="K175" s="6">
        <v>4</v>
      </c>
      <c r="L175" s="6">
        <v>3</v>
      </c>
      <c r="M175" s="6">
        <v>28</v>
      </c>
      <c r="N175" s="6">
        <v>0</v>
      </c>
      <c r="O175" s="6">
        <v>55</v>
      </c>
      <c r="P175" s="6">
        <v>3</v>
      </c>
      <c r="Q175" s="6">
        <v>19</v>
      </c>
      <c r="R175" s="6">
        <v>14</v>
      </c>
      <c r="S175" s="6">
        <v>5</v>
      </c>
      <c r="T175" s="6">
        <v>0</v>
      </c>
      <c r="U175" s="6">
        <v>0</v>
      </c>
      <c r="V175" s="6">
        <v>0</v>
      </c>
      <c r="W175">
        <v>1</v>
      </c>
      <c r="X175">
        <v>90</v>
      </c>
      <c r="Y175">
        <v>35</v>
      </c>
      <c r="Z175">
        <v>35</v>
      </c>
      <c r="AA175">
        <v>0</v>
      </c>
      <c r="AB175">
        <v>2445</v>
      </c>
      <c r="AC175">
        <v>498.89</v>
      </c>
      <c r="AD175">
        <v>0</v>
      </c>
      <c r="AE175">
        <v>131</v>
      </c>
      <c r="AF175">
        <v>131</v>
      </c>
      <c r="AG175">
        <v>0.79595501022494897</v>
      </c>
      <c r="AH175">
        <v>320295</v>
      </c>
      <c r="AI175">
        <v>65354.59</v>
      </c>
      <c r="AJ175">
        <v>254940.41</v>
      </c>
      <c r="AK175">
        <v>17461.149999999998</v>
      </c>
      <c r="AL175" s="4">
        <v>3.7428571428571433</v>
      </c>
      <c r="AM175">
        <f t="shared" si="2"/>
        <v>3.2061068702290072</v>
      </c>
      <c r="AN175" s="5">
        <v>10.916666666666666</v>
      </c>
      <c r="AO175" s="4">
        <v>0.11534500000000003</v>
      </c>
      <c r="AQ175">
        <v>0.5</v>
      </c>
    </row>
    <row r="176" spans="1:43" x14ac:dyDescent="0.25">
      <c r="A176">
        <v>175</v>
      </c>
      <c r="B176" t="s">
        <v>86</v>
      </c>
      <c r="C176" t="s">
        <v>44</v>
      </c>
      <c r="D176" t="s">
        <v>86</v>
      </c>
      <c r="E176" t="s">
        <v>261</v>
      </c>
      <c r="F176" t="s">
        <v>45</v>
      </c>
      <c r="G176" t="s">
        <v>45</v>
      </c>
      <c r="H176">
        <v>1</v>
      </c>
      <c r="I176">
        <v>1</v>
      </c>
      <c r="J176">
        <v>2.8750000000000001E-2</v>
      </c>
      <c r="K176" s="6">
        <v>0</v>
      </c>
      <c r="L176" s="6">
        <v>0</v>
      </c>
      <c r="M176" s="6">
        <v>72</v>
      </c>
      <c r="N176" s="6">
        <v>21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0</v>
      </c>
      <c r="W176">
        <v>1</v>
      </c>
      <c r="X176">
        <v>90</v>
      </c>
      <c r="Y176">
        <v>23</v>
      </c>
      <c r="Z176">
        <v>23</v>
      </c>
      <c r="AA176">
        <v>0</v>
      </c>
      <c r="AB176">
        <v>3124</v>
      </c>
      <c r="AC176">
        <v>661.55</v>
      </c>
      <c r="AD176">
        <v>0</v>
      </c>
      <c r="AE176">
        <v>93</v>
      </c>
      <c r="AF176">
        <v>93</v>
      </c>
      <c r="AG176">
        <v>0.78823623559539047</v>
      </c>
      <c r="AH176">
        <v>290532</v>
      </c>
      <c r="AI176">
        <v>61524.149999999994</v>
      </c>
      <c r="AJ176">
        <v>229007.85</v>
      </c>
      <c r="AK176">
        <v>15215.65</v>
      </c>
      <c r="AL176" s="4">
        <v>4.0434782608695645</v>
      </c>
      <c r="AM176">
        <f t="shared" si="2"/>
        <v>2.9677419354838714</v>
      </c>
      <c r="AN176" s="5">
        <v>7.75</v>
      </c>
      <c r="AO176" s="4">
        <v>0.16500000000000001</v>
      </c>
      <c r="AQ176">
        <v>0.5</v>
      </c>
    </row>
    <row r="177" spans="1:43" x14ac:dyDescent="0.25">
      <c r="A177">
        <v>176</v>
      </c>
      <c r="B177" t="s">
        <v>86</v>
      </c>
      <c r="C177" t="s">
        <v>44</v>
      </c>
      <c r="D177" t="s">
        <v>86</v>
      </c>
      <c r="E177" t="s">
        <v>262</v>
      </c>
      <c r="F177" t="s">
        <v>45</v>
      </c>
      <c r="G177" t="s">
        <v>45</v>
      </c>
      <c r="H177">
        <v>1</v>
      </c>
      <c r="I177">
        <v>1</v>
      </c>
      <c r="J177">
        <v>6.7260000000000011E-3</v>
      </c>
      <c r="K177" s="6">
        <v>47</v>
      </c>
      <c r="L177" s="6">
        <v>7</v>
      </c>
      <c r="M177" s="6">
        <v>19</v>
      </c>
      <c r="N177" s="6">
        <v>0</v>
      </c>
      <c r="O177" s="6">
        <v>7</v>
      </c>
      <c r="P177" s="6">
        <v>40</v>
      </c>
      <c r="Q177" s="6">
        <v>40</v>
      </c>
      <c r="R177" s="6">
        <v>1</v>
      </c>
      <c r="S177" s="6">
        <v>3</v>
      </c>
      <c r="T177" s="6">
        <v>0</v>
      </c>
      <c r="U177" s="6">
        <v>0</v>
      </c>
      <c r="V177" s="6">
        <v>0</v>
      </c>
      <c r="W177">
        <v>0</v>
      </c>
      <c r="X177">
        <v>90</v>
      </c>
      <c r="Y177">
        <v>19</v>
      </c>
      <c r="Z177">
        <v>19</v>
      </c>
      <c r="AA177">
        <v>0</v>
      </c>
      <c r="AB177">
        <v>1700</v>
      </c>
      <c r="AC177">
        <v>645.89</v>
      </c>
      <c r="AD177">
        <v>0</v>
      </c>
      <c r="AE177">
        <v>164</v>
      </c>
      <c r="AF177">
        <v>164</v>
      </c>
      <c r="AG177">
        <v>0.62006470588235296</v>
      </c>
      <c r="AH177">
        <v>278800</v>
      </c>
      <c r="AI177">
        <v>105925.95999999999</v>
      </c>
      <c r="AJ177">
        <v>172874.04</v>
      </c>
      <c r="AK177">
        <v>12271.91</v>
      </c>
      <c r="AL177" s="4">
        <v>8.6315789473684212</v>
      </c>
      <c r="AM177">
        <f t="shared" si="2"/>
        <v>1.3902439024390243</v>
      </c>
      <c r="AN177" s="5">
        <v>13.666666666666666</v>
      </c>
      <c r="AO177" s="4">
        <v>9.7350000000000006E-2</v>
      </c>
      <c r="AQ177">
        <v>0.5</v>
      </c>
    </row>
    <row r="178" spans="1:43" x14ac:dyDescent="0.25">
      <c r="A178">
        <v>177</v>
      </c>
      <c r="B178" t="s">
        <v>82</v>
      </c>
      <c r="C178" t="s">
        <v>44</v>
      </c>
      <c r="D178" t="s">
        <v>82</v>
      </c>
      <c r="E178" t="s">
        <v>263</v>
      </c>
      <c r="F178" t="s">
        <v>45</v>
      </c>
      <c r="G178" t="s">
        <v>45</v>
      </c>
      <c r="H178">
        <v>1</v>
      </c>
      <c r="I178">
        <v>1</v>
      </c>
      <c r="J178">
        <v>4.6020000000000002E-3</v>
      </c>
      <c r="K178" s="6">
        <v>0</v>
      </c>
      <c r="L178" s="6">
        <v>1</v>
      </c>
      <c r="M178" s="6">
        <v>0</v>
      </c>
      <c r="N178" s="6">
        <v>0</v>
      </c>
      <c r="O178" s="6">
        <v>0</v>
      </c>
      <c r="P178" s="6">
        <v>54</v>
      </c>
      <c r="Q178" s="6">
        <v>92</v>
      </c>
      <c r="R178" s="6">
        <v>0</v>
      </c>
      <c r="S178" s="6">
        <v>0</v>
      </c>
      <c r="T178" s="6">
        <v>2</v>
      </c>
      <c r="U178" s="6">
        <v>4</v>
      </c>
      <c r="V178" s="6">
        <v>0</v>
      </c>
      <c r="W178">
        <v>1</v>
      </c>
      <c r="X178">
        <v>90</v>
      </c>
      <c r="Y178">
        <v>39</v>
      </c>
      <c r="Z178">
        <v>39</v>
      </c>
      <c r="AA178">
        <v>0</v>
      </c>
      <c r="AB178">
        <v>1790</v>
      </c>
      <c r="AC178">
        <v>835.82</v>
      </c>
      <c r="AD178">
        <v>0</v>
      </c>
      <c r="AE178">
        <v>153</v>
      </c>
      <c r="AF178">
        <v>153</v>
      </c>
      <c r="AG178">
        <v>0.53306145251396642</v>
      </c>
      <c r="AH178">
        <v>273870</v>
      </c>
      <c r="AI178">
        <v>127880.46</v>
      </c>
      <c r="AJ178">
        <v>145989.53999999998</v>
      </c>
      <c r="AK178">
        <v>32596.980000000003</v>
      </c>
      <c r="AL178" s="4">
        <v>3.9230769230769229</v>
      </c>
      <c r="AM178">
        <f t="shared" si="2"/>
        <v>3.0588235294117649</v>
      </c>
      <c r="AN178" s="5">
        <v>12.75</v>
      </c>
      <c r="AO178" s="4">
        <v>5.7672500000000015E-2</v>
      </c>
      <c r="AQ178">
        <v>0.5</v>
      </c>
    </row>
    <row r="179" spans="1:43" x14ac:dyDescent="0.25">
      <c r="A179">
        <v>178</v>
      </c>
      <c r="B179" t="s">
        <v>86</v>
      </c>
      <c r="C179" t="s">
        <v>44</v>
      </c>
      <c r="D179" t="s">
        <v>86</v>
      </c>
      <c r="E179" t="s">
        <v>264</v>
      </c>
      <c r="F179" t="s">
        <v>45</v>
      </c>
      <c r="G179" t="s">
        <v>45</v>
      </c>
      <c r="H179">
        <v>1</v>
      </c>
      <c r="I179">
        <v>1</v>
      </c>
      <c r="J179">
        <v>2.8320000000000003E-3</v>
      </c>
      <c r="K179" s="6">
        <v>40</v>
      </c>
      <c r="L179" s="6">
        <v>0</v>
      </c>
      <c r="M179" s="6">
        <v>4</v>
      </c>
      <c r="N179" s="6">
        <v>0</v>
      </c>
      <c r="O179" s="6">
        <v>50</v>
      </c>
      <c r="P179" s="6">
        <v>0</v>
      </c>
      <c r="Q179" s="6">
        <v>0</v>
      </c>
      <c r="R179" s="6">
        <v>6</v>
      </c>
      <c r="S179" s="6">
        <v>0</v>
      </c>
      <c r="T179" s="6">
        <v>9</v>
      </c>
      <c r="U179" s="6">
        <v>39</v>
      </c>
      <c r="V179" s="6">
        <v>0</v>
      </c>
      <c r="W179">
        <v>0</v>
      </c>
      <c r="X179">
        <v>90</v>
      </c>
      <c r="Y179">
        <v>8</v>
      </c>
      <c r="Z179">
        <v>8</v>
      </c>
      <c r="AA179">
        <v>0</v>
      </c>
      <c r="AB179">
        <v>1700</v>
      </c>
      <c r="AC179">
        <v>645.89</v>
      </c>
      <c r="AD179">
        <v>0</v>
      </c>
      <c r="AE179">
        <v>148</v>
      </c>
      <c r="AF179">
        <v>148</v>
      </c>
      <c r="AG179">
        <v>0.62006470588235296</v>
      </c>
      <c r="AH179">
        <v>251600</v>
      </c>
      <c r="AI179">
        <v>95591.72</v>
      </c>
      <c r="AJ179">
        <v>156008.28</v>
      </c>
      <c r="AK179">
        <v>5167.12</v>
      </c>
      <c r="AL179" s="4">
        <v>18.5</v>
      </c>
      <c r="AM179">
        <f t="shared" si="2"/>
        <v>0.64864864864864868</v>
      </c>
      <c r="AN179" s="5">
        <v>12.333333333333334</v>
      </c>
      <c r="AO179" s="4">
        <v>9.7350000000000006E-2</v>
      </c>
      <c r="AQ179">
        <v>0.5</v>
      </c>
    </row>
    <row r="180" spans="1:43" x14ac:dyDescent="0.25">
      <c r="A180">
        <v>179</v>
      </c>
      <c r="B180" t="s">
        <v>83</v>
      </c>
      <c r="C180" t="s">
        <v>44</v>
      </c>
      <c r="D180" t="s">
        <v>83</v>
      </c>
      <c r="E180" t="s">
        <v>265</v>
      </c>
      <c r="F180" t="s">
        <v>45</v>
      </c>
      <c r="G180" t="s">
        <v>45</v>
      </c>
      <c r="H180">
        <v>1</v>
      </c>
      <c r="I180">
        <v>1</v>
      </c>
      <c r="J180">
        <v>0.28989675000000004</v>
      </c>
      <c r="K180" s="6">
        <v>0</v>
      </c>
      <c r="L180" s="6">
        <v>0</v>
      </c>
      <c r="M180" s="6">
        <v>400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25</v>
      </c>
      <c r="T180" s="6">
        <v>0</v>
      </c>
      <c r="U180" s="6">
        <v>900</v>
      </c>
      <c r="V180" s="6">
        <v>1900</v>
      </c>
      <c r="W180">
        <v>1</v>
      </c>
      <c r="X180">
        <v>90</v>
      </c>
      <c r="Y180">
        <v>26</v>
      </c>
      <c r="Z180">
        <v>26</v>
      </c>
      <c r="AA180">
        <v>0</v>
      </c>
      <c r="AB180">
        <v>78</v>
      </c>
      <c r="AC180">
        <v>35</v>
      </c>
      <c r="AD180">
        <v>0</v>
      </c>
      <c r="AE180">
        <v>3225</v>
      </c>
      <c r="AF180">
        <v>3225</v>
      </c>
      <c r="AG180">
        <v>0.55130000000000001</v>
      </c>
      <c r="AH180">
        <v>251550</v>
      </c>
      <c r="AI180">
        <v>112875</v>
      </c>
      <c r="AJ180">
        <v>138675</v>
      </c>
      <c r="AK180">
        <v>910</v>
      </c>
      <c r="AL180" s="4">
        <v>124.03846153846153</v>
      </c>
      <c r="AM180">
        <f t="shared" si="2"/>
        <v>9.6744186046511638E-2</v>
      </c>
      <c r="AN180" s="5">
        <v>268.75</v>
      </c>
      <c r="AO180" s="4">
        <v>0.28989675000000004</v>
      </c>
      <c r="AQ180">
        <v>0.5</v>
      </c>
    </row>
    <row r="181" spans="1:43" x14ac:dyDescent="0.25">
      <c r="A181">
        <v>180</v>
      </c>
      <c r="B181" t="s">
        <v>82</v>
      </c>
      <c r="C181" t="s">
        <v>44</v>
      </c>
      <c r="D181" t="s">
        <v>82</v>
      </c>
      <c r="E181" t="s">
        <v>266</v>
      </c>
      <c r="F181" t="s">
        <v>45</v>
      </c>
      <c r="G181" t="s">
        <v>45</v>
      </c>
      <c r="H181">
        <v>1</v>
      </c>
      <c r="I181">
        <v>1</v>
      </c>
      <c r="J181">
        <v>2.9264000000000002E-2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54</v>
      </c>
      <c r="U181" s="6">
        <v>8</v>
      </c>
      <c r="V181" s="6">
        <v>4</v>
      </c>
      <c r="W181">
        <v>1</v>
      </c>
      <c r="X181">
        <v>90</v>
      </c>
      <c r="Y181">
        <v>31</v>
      </c>
      <c r="Z181">
        <v>31</v>
      </c>
      <c r="AA181">
        <v>0</v>
      </c>
      <c r="AB181">
        <v>3750</v>
      </c>
      <c r="AC181">
        <v>1508.88</v>
      </c>
      <c r="AD181">
        <v>0</v>
      </c>
      <c r="AE181">
        <v>66</v>
      </c>
      <c r="AF181">
        <v>66</v>
      </c>
      <c r="AG181">
        <v>0.59763199999999994</v>
      </c>
      <c r="AH181">
        <v>247500</v>
      </c>
      <c r="AI181">
        <v>99586.08</v>
      </c>
      <c r="AJ181">
        <v>147913.91999999998</v>
      </c>
      <c r="AK181">
        <v>46775.280000000006</v>
      </c>
      <c r="AL181" s="4">
        <v>2.129032258064516</v>
      </c>
      <c r="AM181">
        <f t="shared" si="2"/>
        <v>5.6363636363636367</v>
      </c>
      <c r="AN181" s="5">
        <v>5.5</v>
      </c>
      <c r="AO181" s="4">
        <v>0.23069000000000006</v>
      </c>
      <c r="AQ181">
        <v>0.5</v>
      </c>
    </row>
    <row r="182" spans="1:43" x14ac:dyDescent="0.25">
      <c r="A182">
        <v>181</v>
      </c>
      <c r="B182" t="s">
        <v>85</v>
      </c>
      <c r="C182" t="s">
        <v>44</v>
      </c>
      <c r="D182" t="s">
        <v>85</v>
      </c>
      <c r="E182" t="s">
        <v>267</v>
      </c>
      <c r="F182" t="s">
        <v>45</v>
      </c>
      <c r="G182" t="s">
        <v>45</v>
      </c>
      <c r="H182">
        <v>1</v>
      </c>
      <c r="I182">
        <v>1</v>
      </c>
      <c r="J182">
        <v>9.5999999999999992E-3</v>
      </c>
      <c r="K182" s="6">
        <v>0</v>
      </c>
      <c r="L182" s="6">
        <v>0</v>
      </c>
      <c r="M182" s="6">
        <v>11</v>
      </c>
      <c r="N182" s="6">
        <v>0</v>
      </c>
      <c r="O182" s="6">
        <v>10</v>
      </c>
      <c r="P182" s="6">
        <v>1</v>
      </c>
      <c r="Q182" s="6">
        <v>0</v>
      </c>
      <c r="R182" s="6">
        <v>14</v>
      </c>
      <c r="S182" s="6">
        <v>0</v>
      </c>
      <c r="T182" s="6">
        <v>2</v>
      </c>
      <c r="U182" s="6">
        <v>25</v>
      </c>
      <c r="V182" s="6">
        <v>1</v>
      </c>
      <c r="W182">
        <v>0</v>
      </c>
      <c r="X182">
        <v>90</v>
      </c>
      <c r="Y182">
        <v>16</v>
      </c>
      <c r="Z182">
        <v>16</v>
      </c>
      <c r="AA182">
        <v>0</v>
      </c>
      <c r="AB182">
        <v>3800</v>
      </c>
      <c r="AC182">
        <v>1853.53</v>
      </c>
      <c r="AD182">
        <v>0</v>
      </c>
      <c r="AE182">
        <v>64</v>
      </c>
      <c r="AF182">
        <v>64</v>
      </c>
      <c r="AG182">
        <v>0.51222894736842106</v>
      </c>
      <c r="AH182">
        <v>243200</v>
      </c>
      <c r="AI182">
        <v>118625.92</v>
      </c>
      <c r="AJ182">
        <v>124574.08</v>
      </c>
      <c r="AK182">
        <v>29656.48</v>
      </c>
      <c r="AL182" s="4">
        <v>4</v>
      </c>
      <c r="AM182">
        <f t="shared" si="2"/>
        <v>3</v>
      </c>
      <c r="AN182" s="5">
        <v>5.333333333333333</v>
      </c>
      <c r="AO182" s="4">
        <v>2.8799999999999999E-2</v>
      </c>
      <c r="AQ182">
        <v>0.5</v>
      </c>
    </row>
    <row r="183" spans="1:43" x14ac:dyDescent="0.25">
      <c r="A183">
        <v>182</v>
      </c>
      <c r="B183" t="s">
        <v>82</v>
      </c>
      <c r="C183" t="s">
        <v>44</v>
      </c>
      <c r="D183" t="s">
        <v>82</v>
      </c>
      <c r="E183" t="s">
        <v>268</v>
      </c>
      <c r="F183" t="s">
        <v>45</v>
      </c>
      <c r="G183" t="s">
        <v>45</v>
      </c>
      <c r="H183">
        <v>1</v>
      </c>
      <c r="I183">
        <v>1</v>
      </c>
      <c r="J183">
        <v>0.104784</v>
      </c>
      <c r="K183" s="6">
        <v>12</v>
      </c>
      <c r="L183" s="6">
        <v>17</v>
      </c>
      <c r="M183" s="6">
        <v>8</v>
      </c>
      <c r="N183" s="6">
        <v>2</v>
      </c>
      <c r="O183" s="6">
        <v>13</v>
      </c>
      <c r="P183" s="6">
        <v>1</v>
      </c>
      <c r="Q183" s="6">
        <v>9</v>
      </c>
      <c r="R183" s="6">
        <v>10</v>
      </c>
      <c r="S183" s="6">
        <v>0</v>
      </c>
      <c r="T183" s="6">
        <v>1</v>
      </c>
      <c r="U183" s="6">
        <v>16</v>
      </c>
      <c r="V183" s="6">
        <v>12</v>
      </c>
      <c r="W183">
        <v>1</v>
      </c>
      <c r="X183">
        <v>90</v>
      </c>
      <c r="Y183">
        <v>444</v>
      </c>
      <c r="Z183">
        <v>444</v>
      </c>
      <c r="AA183">
        <v>0</v>
      </c>
      <c r="AB183">
        <v>2377</v>
      </c>
      <c r="AC183">
        <v>758.39</v>
      </c>
      <c r="AD183">
        <v>0</v>
      </c>
      <c r="AE183">
        <v>101</v>
      </c>
      <c r="AF183">
        <v>101</v>
      </c>
      <c r="AG183">
        <v>0.680946571308372</v>
      </c>
      <c r="AH183">
        <v>240077</v>
      </c>
      <c r="AI183">
        <v>76597.39</v>
      </c>
      <c r="AJ183">
        <v>163479.60999999999</v>
      </c>
      <c r="AK183">
        <v>336725.16</v>
      </c>
      <c r="AL183" s="4">
        <v>0.22747747747747749</v>
      </c>
      <c r="AM183">
        <f t="shared" si="2"/>
        <v>52.75247524752475</v>
      </c>
      <c r="AN183" s="5">
        <v>8.4166666666666661</v>
      </c>
      <c r="AO183" s="4">
        <v>1.3841400000000004</v>
      </c>
      <c r="AQ183">
        <v>0.5</v>
      </c>
    </row>
    <row r="184" spans="1:43" x14ac:dyDescent="0.25">
      <c r="A184">
        <v>183</v>
      </c>
      <c r="B184" t="s">
        <v>82</v>
      </c>
      <c r="C184" t="s">
        <v>44</v>
      </c>
      <c r="D184" t="s">
        <v>82</v>
      </c>
      <c r="E184" t="s">
        <v>269</v>
      </c>
      <c r="F184" t="s">
        <v>45</v>
      </c>
      <c r="G184" t="s">
        <v>45</v>
      </c>
      <c r="H184">
        <v>1</v>
      </c>
      <c r="I184">
        <v>1</v>
      </c>
      <c r="J184">
        <v>6.1360000000000008E-3</v>
      </c>
      <c r="K184" s="6">
        <v>30</v>
      </c>
      <c r="L184" s="6">
        <v>2</v>
      </c>
      <c r="M184" s="6">
        <v>4</v>
      </c>
      <c r="N184" s="6">
        <v>20</v>
      </c>
      <c r="O184" s="6">
        <v>3</v>
      </c>
      <c r="P184" s="6">
        <v>10</v>
      </c>
      <c r="Q184" s="6">
        <v>12</v>
      </c>
      <c r="R184" s="6">
        <v>6</v>
      </c>
      <c r="S184" s="6">
        <v>5</v>
      </c>
      <c r="T184" s="6">
        <v>1</v>
      </c>
      <c r="U184" s="6">
        <v>5</v>
      </c>
      <c r="V184" s="6">
        <v>0</v>
      </c>
      <c r="W184">
        <v>0</v>
      </c>
      <c r="X184">
        <v>90</v>
      </c>
      <c r="Y184">
        <v>26</v>
      </c>
      <c r="Z184">
        <v>26</v>
      </c>
      <c r="AA184">
        <v>0</v>
      </c>
      <c r="AB184">
        <v>2400</v>
      </c>
      <c r="AC184">
        <v>838.31</v>
      </c>
      <c r="AD184">
        <v>0</v>
      </c>
      <c r="AE184">
        <v>98</v>
      </c>
      <c r="AF184">
        <v>98</v>
      </c>
      <c r="AG184">
        <v>0.65070416666666664</v>
      </c>
      <c r="AH184">
        <v>235200</v>
      </c>
      <c r="AI184">
        <v>82154.37999999999</v>
      </c>
      <c r="AJ184">
        <v>153045.62</v>
      </c>
      <c r="AK184">
        <v>21796.059999999998</v>
      </c>
      <c r="AL184" s="4">
        <v>3.7692307692307692</v>
      </c>
      <c r="AM184">
        <f t="shared" si="2"/>
        <v>3.1836734693877551</v>
      </c>
      <c r="AN184" s="5">
        <v>8.1666666666666661</v>
      </c>
      <c r="AO184" s="4">
        <v>0.11534500000000003</v>
      </c>
      <c r="AQ184">
        <v>0.5</v>
      </c>
    </row>
    <row r="185" spans="1:43" x14ac:dyDescent="0.25">
      <c r="A185">
        <v>184</v>
      </c>
      <c r="B185" t="s">
        <v>85</v>
      </c>
      <c r="C185" t="s">
        <v>44</v>
      </c>
      <c r="D185" t="s">
        <v>85</v>
      </c>
      <c r="E185" t="s">
        <v>270</v>
      </c>
      <c r="F185" t="s">
        <v>45</v>
      </c>
      <c r="G185" t="s">
        <v>45</v>
      </c>
      <c r="H185">
        <v>1</v>
      </c>
      <c r="I185">
        <v>1</v>
      </c>
      <c r="J185">
        <v>9.5999999999999992E-3</v>
      </c>
      <c r="K185" s="6">
        <v>0</v>
      </c>
      <c r="L185" s="6">
        <v>7</v>
      </c>
      <c r="M185" s="6">
        <v>0</v>
      </c>
      <c r="N185" s="6">
        <v>2</v>
      </c>
      <c r="O185" s="6">
        <v>0</v>
      </c>
      <c r="P185" s="6">
        <v>0</v>
      </c>
      <c r="Q185" s="6">
        <v>0</v>
      </c>
      <c r="R185" s="6">
        <v>43</v>
      </c>
      <c r="S185" s="6">
        <v>5</v>
      </c>
      <c r="T185" s="6">
        <v>0</v>
      </c>
      <c r="U185" s="6">
        <v>4</v>
      </c>
      <c r="V185" s="6">
        <v>0</v>
      </c>
      <c r="W185">
        <v>0</v>
      </c>
      <c r="X185">
        <v>90</v>
      </c>
      <c r="Y185">
        <v>16</v>
      </c>
      <c r="Z185">
        <v>16</v>
      </c>
      <c r="AA185">
        <v>0</v>
      </c>
      <c r="AB185">
        <v>3800</v>
      </c>
      <c r="AC185">
        <v>1853.53</v>
      </c>
      <c r="AD185">
        <v>0</v>
      </c>
      <c r="AE185">
        <v>61</v>
      </c>
      <c r="AF185">
        <v>61</v>
      </c>
      <c r="AG185">
        <v>0.51222894736842106</v>
      </c>
      <c r="AH185">
        <v>231800</v>
      </c>
      <c r="AI185">
        <v>113065.33</v>
      </c>
      <c r="AJ185">
        <v>118734.67</v>
      </c>
      <c r="AK185">
        <v>29656.48</v>
      </c>
      <c r="AL185" s="4">
        <v>3.8125</v>
      </c>
      <c r="AM185">
        <f t="shared" si="2"/>
        <v>3.1475409836065573</v>
      </c>
      <c r="AN185" s="5">
        <v>5.083333333333333</v>
      </c>
      <c r="AO185" s="4">
        <v>5.7599999999999998E-2</v>
      </c>
      <c r="AQ185">
        <v>0.5</v>
      </c>
    </row>
    <row r="186" spans="1:43" x14ac:dyDescent="0.25">
      <c r="A186">
        <v>185</v>
      </c>
      <c r="B186" t="s">
        <v>86</v>
      </c>
      <c r="C186" t="s">
        <v>44</v>
      </c>
      <c r="D186" t="s">
        <v>86</v>
      </c>
      <c r="E186" t="s">
        <v>271</v>
      </c>
      <c r="F186" t="s">
        <v>45</v>
      </c>
      <c r="G186" t="s">
        <v>45</v>
      </c>
      <c r="H186">
        <v>1</v>
      </c>
      <c r="I186">
        <v>1</v>
      </c>
      <c r="J186">
        <v>1.1409999999999998E-2</v>
      </c>
      <c r="K186" s="6">
        <v>10</v>
      </c>
      <c r="L186" s="6">
        <v>73</v>
      </c>
      <c r="M186" s="6">
        <v>5</v>
      </c>
      <c r="N186" s="6">
        <v>6</v>
      </c>
      <c r="O186" s="6">
        <v>-6</v>
      </c>
      <c r="P186" s="6">
        <v>0</v>
      </c>
      <c r="Q186" s="6">
        <v>0</v>
      </c>
      <c r="R186" s="6">
        <v>0</v>
      </c>
      <c r="S186" s="6">
        <v>76</v>
      </c>
      <c r="T186" s="6">
        <v>2</v>
      </c>
      <c r="U186" s="6">
        <v>10</v>
      </c>
      <c r="V186" s="6">
        <v>0</v>
      </c>
      <c r="W186">
        <v>1</v>
      </c>
      <c r="X186">
        <v>90</v>
      </c>
      <c r="Y186">
        <v>163</v>
      </c>
      <c r="Z186">
        <v>163</v>
      </c>
      <c r="AA186">
        <v>0</v>
      </c>
      <c r="AB186">
        <v>1315.6445783132531</v>
      </c>
      <c r="AC186">
        <v>347.29</v>
      </c>
      <c r="AD186">
        <v>0</v>
      </c>
      <c r="AE186">
        <v>176</v>
      </c>
      <c r="AF186">
        <v>176</v>
      </c>
      <c r="AG186">
        <v>0.73599999999999999</v>
      </c>
      <c r="AH186">
        <v>231553.44578313254</v>
      </c>
      <c r="AI186">
        <v>61123.040000000001</v>
      </c>
      <c r="AJ186">
        <v>170430.40578313253</v>
      </c>
      <c r="AK186">
        <v>56608.270000000004</v>
      </c>
      <c r="AL186" s="4">
        <v>1.0797546012269938</v>
      </c>
      <c r="AM186">
        <f t="shared" si="2"/>
        <v>11.113636363636363</v>
      </c>
      <c r="AN186" s="5">
        <v>14.666666666666666</v>
      </c>
      <c r="AO186" s="4">
        <v>0.2016</v>
      </c>
      <c r="AQ186">
        <v>0.5</v>
      </c>
    </row>
    <row r="187" spans="1:43" x14ac:dyDescent="0.25">
      <c r="A187">
        <v>186</v>
      </c>
      <c r="B187" t="s">
        <v>82</v>
      </c>
      <c r="C187" t="s">
        <v>44</v>
      </c>
      <c r="D187" t="s">
        <v>82</v>
      </c>
      <c r="E187" t="s">
        <v>272</v>
      </c>
      <c r="F187" t="s">
        <v>45</v>
      </c>
      <c r="G187" t="s">
        <v>45</v>
      </c>
      <c r="H187">
        <v>1</v>
      </c>
      <c r="I187">
        <v>1</v>
      </c>
      <c r="J187">
        <v>5.9000000000000007E-3</v>
      </c>
      <c r="K187" s="6">
        <v>5</v>
      </c>
      <c r="L187" s="6">
        <v>2</v>
      </c>
      <c r="M187" s="6">
        <v>0</v>
      </c>
      <c r="N187" s="6">
        <v>2</v>
      </c>
      <c r="O187" s="6">
        <v>1</v>
      </c>
      <c r="P187" s="6">
        <v>2</v>
      </c>
      <c r="Q187" s="6">
        <v>14</v>
      </c>
      <c r="R187" s="6">
        <v>16</v>
      </c>
      <c r="S187" s="6">
        <v>12</v>
      </c>
      <c r="T187" s="6">
        <v>19</v>
      </c>
      <c r="U187" s="6">
        <v>5</v>
      </c>
      <c r="V187" s="6">
        <v>15</v>
      </c>
      <c r="W187">
        <v>0</v>
      </c>
      <c r="X187">
        <v>90</v>
      </c>
      <c r="Y187">
        <v>25</v>
      </c>
      <c r="Z187">
        <v>25</v>
      </c>
      <c r="AA187">
        <v>0</v>
      </c>
      <c r="AB187">
        <v>2400</v>
      </c>
      <c r="AC187">
        <v>1339.76</v>
      </c>
      <c r="AD187">
        <v>0</v>
      </c>
      <c r="AE187">
        <v>93</v>
      </c>
      <c r="AF187">
        <v>93</v>
      </c>
      <c r="AG187">
        <v>0.4417666666666667</v>
      </c>
      <c r="AH187">
        <v>223200</v>
      </c>
      <c r="AI187">
        <v>124597.68</v>
      </c>
      <c r="AJ187">
        <v>98602.32</v>
      </c>
      <c r="AK187">
        <v>33494</v>
      </c>
      <c r="AL187" s="4">
        <v>3.7199999999999998</v>
      </c>
      <c r="AM187">
        <f t="shared" si="2"/>
        <v>3.2258064516129035</v>
      </c>
      <c r="AN187" s="5">
        <v>7.75</v>
      </c>
      <c r="AO187" s="4">
        <v>0.11534500000000003</v>
      </c>
      <c r="AQ187">
        <v>0.5</v>
      </c>
    </row>
    <row r="188" spans="1:43" x14ac:dyDescent="0.25">
      <c r="A188">
        <v>187</v>
      </c>
      <c r="B188" t="s">
        <v>82</v>
      </c>
      <c r="C188" t="s">
        <v>44</v>
      </c>
      <c r="D188" t="s">
        <v>82</v>
      </c>
      <c r="E188" t="s">
        <v>273</v>
      </c>
      <c r="F188" t="s">
        <v>45</v>
      </c>
      <c r="G188" t="s">
        <v>45</v>
      </c>
      <c r="H188">
        <v>1</v>
      </c>
      <c r="I188">
        <v>1</v>
      </c>
      <c r="J188">
        <v>5.6640000000000006E-3</v>
      </c>
      <c r="K188" s="6">
        <v>19</v>
      </c>
      <c r="L188" s="6">
        <v>3</v>
      </c>
      <c r="M188" s="6">
        <v>12</v>
      </c>
      <c r="N188" s="6">
        <v>12</v>
      </c>
      <c r="O188" s="6">
        <v>11</v>
      </c>
      <c r="P188" s="6">
        <v>10</v>
      </c>
      <c r="Q188" s="6">
        <v>13</v>
      </c>
      <c r="R188" s="6">
        <v>0</v>
      </c>
      <c r="S188" s="6">
        <v>5</v>
      </c>
      <c r="T188" s="6">
        <v>4</v>
      </c>
      <c r="U188" s="6">
        <v>3</v>
      </c>
      <c r="V188" s="6">
        <v>0</v>
      </c>
      <c r="W188">
        <v>0</v>
      </c>
      <c r="X188">
        <v>90</v>
      </c>
      <c r="Y188">
        <v>24</v>
      </c>
      <c r="Z188">
        <v>24</v>
      </c>
      <c r="AA188">
        <v>0</v>
      </c>
      <c r="AB188">
        <v>2400</v>
      </c>
      <c r="AC188">
        <v>787.92</v>
      </c>
      <c r="AD188">
        <v>0</v>
      </c>
      <c r="AE188">
        <v>92</v>
      </c>
      <c r="AF188">
        <v>92</v>
      </c>
      <c r="AG188">
        <v>0.67169999999999996</v>
      </c>
      <c r="AH188">
        <v>220800</v>
      </c>
      <c r="AI188">
        <v>72488.639999999999</v>
      </c>
      <c r="AJ188">
        <v>148311.35999999999</v>
      </c>
      <c r="AK188">
        <v>18910.079999999998</v>
      </c>
      <c r="AL188" s="4">
        <v>3.8333333333333335</v>
      </c>
      <c r="AM188">
        <f t="shared" si="2"/>
        <v>3.1304347826086953</v>
      </c>
      <c r="AN188" s="5">
        <v>7.666666666666667</v>
      </c>
      <c r="AO188" s="4">
        <v>0.11534500000000003</v>
      </c>
      <c r="AQ188">
        <v>0.5</v>
      </c>
    </row>
    <row r="189" spans="1:43" x14ac:dyDescent="0.25">
      <c r="A189">
        <v>188</v>
      </c>
      <c r="B189" t="s">
        <v>82</v>
      </c>
      <c r="C189" t="s">
        <v>44</v>
      </c>
      <c r="D189" t="s">
        <v>82</v>
      </c>
      <c r="E189" t="s">
        <v>274</v>
      </c>
      <c r="F189" t="s">
        <v>45</v>
      </c>
      <c r="G189" t="s">
        <v>45</v>
      </c>
      <c r="H189">
        <v>1</v>
      </c>
      <c r="I189">
        <v>1</v>
      </c>
      <c r="J189">
        <v>8.9680000000000003E-3</v>
      </c>
      <c r="K189" s="6">
        <v>18</v>
      </c>
      <c r="L189" s="6">
        <v>44</v>
      </c>
      <c r="M189" s="6">
        <v>15</v>
      </c>
      <c r="N189" s="6">
        <v>2</v>
      </c>
      <c r="O189" s="6">
        <v>10</v>
      </c>
      <c r="P189" s="6">
        <v>0</v>
      </c>
      <c r="Q189" s="6">
        <v>0</v>
      </c>
      <c r="R189" s="6">
        <v>38</v>
      </c>
      <c r="S189" s="6">
        <v>-15</v>
      </c>
      <c r="T189" s="6">
        <v>22</v>
      </c>
      <c r="U189" s="6">
        <v>0</v>
      </c>
      <c r="V189" s="6">
        <v>10</v>
      </c>
      <c r="W189">
        <v>2</v>
      </c>
      <c r="X189">
        <v>90</v>
      </c>
      <c r="Y189">
        <v>38</v>
      </c>
      <c r="Z189">
        <v>38</v>
      </c>
      <c r="AA189">
        <v>0</v>
      </c>
      <c r="AB189">
        <v>1460</v>
      </c>
      <c r="AC189">
        <v>688.97</v>
      </c>
      <c r="AD189">
        <v>0</v>
      </c>
      <c r="AE189">
        <v>144</v>
      </c>
      <c r="AF189">
        <v>144</v>
      </c>
      <c r="AG189">
        <v>0.52810273972602739</v>
      </c>
      <c r="AH189">
        <v>210240</v>
      </c>
      <c r="AI189">
        <v>99211.680000000008</v>
      </c>
      <c r="AJ189">
        <v>111028.31999999999</v>
      </c>
      <c r="AK189">
        <v>26180.86</v>
      </c>
      <c r="AL189" s="4">
        <v>3.7894736842105265</v>
      </c>
      <c r="AM189">
        <f t="shared" si="2"/>
        <v>3.1666666666666665</v>
      </c>
      <c r="AN189" s="5">
        <v>12</v>
      </c>
      <c r="AO189" s="4">
        <v>0.11534500000000003</v>
      </c>
      <c r="AQ189">
        <v>0.5</v>
      </c>
    </row>
    <row r="190" spans="1:43" x14ac:dyDescent="0.25">
      <c r="A190">
        <v>189</v>
      </c>
      <c r="B190" t="s">
        <v>82</v>
      </c>
      <c r="C190" t="s">
        <v>44</v>
      </c>
      <c r="D190" t="s">
        <v>82</v>
      </c>
      <c r="E190" t="s">
        <v>275</v>
      </c>
      <c r="F190" t="s">
        <v>45</v>
      </c>
      <c r="G190" t="s">
        <v>45</v>
      </c>
      <c r="H190">
        <v>1</v>
      </c>
      <c r="I190">
        <v>1</v>
      </c>
      <c r="J190">
        <v>5.6640000000000006E-3</v>
      </c>
      <c r="K190" s="6">
        <v>28</v>
      </c>
      <c r="L190" s="6">
        <v>16</v>
      </c>
      <c r="M190" s="6">
        <v>0</v>
      </c>
      <c r="N190" s="6">
        <v>40</v>
      </c>
      <c r="O190" s="6">
        <v>-4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7</v>
      </c>
      <c r="V190" s="6">
        <v>0</v>
      </c>
      <c r="W190">
        <v>0</v>
      </c>
      <c r="X190">
        <v>90</v>
      </c>
      <c r="Y190">
        <v>24</v>
      </c>
      <c r="Z190">
        <v>24</v>
      </c>
      <c r="AA190">
        <v>0</v>
      </c>
      <c r="AB190">
        <v>2400</v>
      </c>
      <c r="AC190">
        <v>723.99</v>
      </c>
      <c r="AD190">
        <v>0</v>
      </c>
      <c r="AE190">
        <v>87</v>
      </c>
      <c r="AF190">
        <v>87</v>
      </c>
      <c r="AG190">
        <v>0.69833749999999994</v>
      </c>
      <c r="AH190">
        <v>208800</v>
      </c>
      <c r="AI190">
        <v>62987.13</v>
      </c>
      <c r="AJ190">
        <v>145812.87</v>
      </c>
      <c r="AK190">
        <v>17375.760000000002</v>
      </c>
      <c r="AL190" s="4">
        <v>3.6249999999999996</v>
      </c>
      <c r="AM190">
        <f t="shared" si="2"/>
        <v>3.3103448275862073</v>
      </c>
      <c r="AN190" s="5">
        <v>7.25</v>
      </c>
      <c r="AO190" s="4">
        <v>0.11534500000000003</v>
      </c>
      <c r="AQ190">
        <v>0.5</v>
      </c>
    </row>
    <row r="191" spans="1:43" x14ac:dyDescent="0.25">
      <c r="A191">
        <v>190</v>
      </c>
      <c r="B191" t="s">
        <v>85</v>
      </c>
      <c r="C191" t="s">
        <v>44</v>
      </c>
      <c r="D191" t="s">
        <v>85</v>
      </c>
      <c r="E191" t="s">
        <v>276</v>
      </c>
      <c r="F191" t="s">
        <v>45</v>
      </c>
      <c r="G191" t="s">
        <v>45</v>
      </c>
      <c r="H191">
        <v>1</v>
      </c>
      <c r="I191">
        <v>1</v>
      </c>
      <c r="J191">
        <v>8.9999999999999993E-3</v>
      </c>
      <c r="K191" s="6">
        <v>5</v>
      </c>
      <c r="L191" s="6">
        <v>9</v>
      </c>
      <c r="M191" s="6">
        <v>5</v>
      </c>
      <c r="N191" s="6">
        <v>5</v>
      </c>
      <c r="O191" s="6">
        <v>7</v>
      </c>
      <c r="P191" s="6">
        <v>-1</v>
      </c>
      <c r="Q191" s="6">
        <v>0</v>
      </c>
      <c r="R191" s="6">
        <v>1</v>
      </c>
      <c r="S191" s="6">
        <v>7</v>
      </c>
      <c r="T191" s="6">
        <v>3</v>
      </c>
      <c r="U191" s="6">
        <v>1</v>
      </c>
      <c r="V191" s="6">
        <v>11</v>
      </c>
      <c r="W191">
        <v>0</v>
      </c>
      <c r="X191">
        <v>90</v>
      </c>
      <c r="Y191">
        <v>15</v>
      </c>
      <c r="Z191">
        <v>15</v>
      </c>
      <c r="AA191">
        <v>0</v>
      </c>
      <c r="AB191">
        <v>3800</v>
      </c>
      <c r="AC191">
        <v>1542.5</v>
      </c>
      <c r="AD191">
        <v>0</v>
      </c>
      <c r="AE191">
        <v>53</v>
      </c>
      <c r="AF191">
        <v>53</v>
      </c>
      <c r="AG191">
        <v>0.59407894736842104</v>
      </c>
      <c r="AH191">
        <v>201400</v>
      </c>
      <c r="AI191">
        <v>81752.5</v>
      </c>
      <c r="AJ191">
        <v>119647.5</v>
      </c>
      <c r="AK191">
        <v>23137.5</v>
      </c>
      <c r="AL191" s="4">
        <v>3.5333333333333332</v>
      </c>
      <c r="AM191">
        <f t="shared" si="2"/>
        <v>3.3962264150943398</v>
      </c>
      <c r="AN191" s="5">
        <v>4.416666666666667</v>
      </c>
      <c r="AO191" s="4">
        <v>2.8799999999999999E-2</v>
      </c>
      <c r="AQ191">
        <v>0.5</v>
      </c>
    </row>
    <row r="192" spans="1:43" x14ac:dyDescent="0.25">
      <c r="A192">
        <v>191</v>
      </c>
      <c r="B192" t="s">
        <v>82</v>
      </c>
      <c r="C192" t="s">
        <v>44</v>
      </c>
      <c r="D192" t="s">
        <v>82</v>
      </c>
      <c r="E192" t="s">
        <v>277</v>
      </c>
      <c r="F192" t="s">
        <v>45</v>
      </c>
      <c r="G192" t="s">
        <v>45</v>
      </c>
      <c r="H192">
        <v>1</v>
      </c>
      <c r="I192">
        <v>1</v>
      </c>
      <c r="J192">
        <v>6.9029999999999994E-3</v>
      </c>
      <c r="K192" s="6">
        <v>5</v>
      </c>
      <c r="L192" s="6">
        <v>0</v>
      </c>
      <c r="M192" s="6">
        <v>20</v>
      </c>
      <c r="N192" s="6">
        <v>27</v>
      </c>
      <c r="O192" s="6">
        <v>0</v>
      </c>
      <c r="P192" s="6">
        <v>5</v>
      </c>
      <c r="Q192" s="6">
        <v>8</v>
      </c>
      <c r="R192" s="6">
        <v>5</v>
      </c>
      <c r="S192" s="6">
        <v>10</v>
      </c>
      <c r="T192" s="6">
        <v>47</v>
      </c>
      <c r="U192" s="6">
        <v>22</v>
      </c>
      <c r="V192" s="6">
        <v>0</v>
      </c>
      <c r="W192">
        <v>0</v>
      </c>
      <c r="X192">
        <v>90</v>
      </c>
      <c r="Y192">
        <v>39</v>
      </c>
      <c r="Z192">
        <v>39</v>
      </c>
      <c r="AA192">
        <v>0</v>
      </c>
      <c r="AB192">
        <v>1343</v>
      </c>
      <c r="AC192">
        <v>573.74</v>
      </c>
      <c r="AD192">
        <v>0</v>
      </c>
      <c r="AE192">
        <v>149</v>
      </c>
      <c r="AF192">
        <v>149</v>
      </c>
      <c r="AG192">
        <v>0.57279225614296347</v>
      </c>
      <c r="AH192">
        <v>200107</v>
      </c>
      <c r="AI192">
        <v>85487.26</v>
      </c>
      <c r="AJ192">
        <v>114619.74</v>
      </c>
      <c r="AK192">
        <v>22375.86</v>
      </c>
      <c r="AL192" s="4">
        <v>3.8205128205128203</v>
      </c>
      <c r="AM192">
        <f t="shared" si="2"/>
        <v>3.1409395973154366</v>
      </c>
      <c r="AN192" s="5">
        <v>12.416666666666666</v>
      </c>
      <c r="AO192" s="4">
        <v>0.11534500000000003</v>
      </c>
      <c r="AQ192">
        <v>0.5</v>
      </c>
    </row>
    <row r="193" spans="1:43" x14ac:dyDescent="0.25">
      <c r="A193">
        <v>192</v>
      </c>
      <c r="B193" t="s">
        <v>86</v>
      </c>
      <c r="C193" t="s">
        <v>44</v>
      </c>
      <c r="D193" t="s">
        <v>86</v>
      </c>
      <c r="E193" t="s">
        <v>278</v>
      </c>
      <c r="F193" t="s">
        <v>45</v>
      </c>
      <c r="G193" t="s">
        <v>45</v>
      </c>
      <c r="H193">
        <v>1</v>
      </c>
      <c r="I193">
        <v>1</v>
      </c>
      <c r="J193">
        <v>6.0180000000000008E-3</v>
      </c>
      <c r="K193" s="6">
        <v>40</v>
      </c>
      <c r="L193" s="6">
        <v>8</v>
      </c>
      <c r="M193" s="6">
        <v>2</v>
      </c>
      <c r="N193" s="6">
        <v>0</v>
      </c>
      <c r="O193" s="6">
        <v>4</v>
      </c>
      <c r="P193" s="6">
        <v>45</v>
      </c>
      <c r="Q193" s="6">
        <v>4</v>
      </c>
      <c r="R193" s="6">
        <v>4</v>
      </c>
      <c r="S193" s="6">
        <v>0</v>
      </c>
      <c r="T193" s="6">
        <v>6</v>
      </c>
      <c r="U193" s="6">
        <v>4</v>
      </c>
      <c r="V193" s="6">
        <v>0</v>
      </c>
      <c r="W193">
        <v>0</v>
      </c>
      <c r="X193">
        <v>90</v>
      </c>
      <c r="Y193">
        <v>17</v>
      </c>
      <c r="Z193">
        <v>17</v>
      </c>
      <c r="AA193">
        <v>0</v>
      </c>
      <c r="AB193">
        <v>1700</v>
      </c>
      <c r="AC193">
        <v>645.89</v>
      </c>
      <c r="AD193">
        <v>0</v>
      </c>
      <c r="AE193">
        <v>117</v>
      </c>
      <c r="AF193">
        <v>117</v>
      </c>
      <c r="AG193">
        <v>0.62006470588235296</v>
      </c>
      <c r="AH193">
        <v>198900</v>
      </c>
      <c r="AI193">
        <v>75569.13</v>
      </c>
      <c r="AJ193">
        <v>123330.87</v>
      </c>
      <c r="AK193">
        <v>10980.13</v>
      </c>
      <c r="AL193" s="4">
        <v>6.8823529411764719</v>
      </c>
      <c r="AM193">
        <f t="shared" si="2"/>
        <v>1.7435897435897432</v>
      </c>
      <c r="AN193" s="5">
        <v>9.75</v>
      </c>
      <c r="AO193" s="4">
        <v>9.7350000000000006E-2</v>
      </c>
      <c r="AQ193">
        <v>0.5</v>
      </c>
    </row>
    <row r="194" spans="1:43" x14ac:dyDescent="0.25">
      <c r="A194">
        <v>193</v>
      </c>
      <c r="B194" t="s">
        <v>86</v>
      </c>
      <c r="C194" t="s">
        <v>44</v>
      </c>
      <c r="D194" t="s">
        <v>86</v>
      </c>
      <c r="E194" t="s">
        <v>279</v>
      </c>
      <c r="F194" t="s">
        <v>45</v>
      </c>
      <c r="G194" t="s">
        <v>45</v>
      </c>
      <c r="H194">
        <v>1</v>
      </c>
      <c r="I194">
        <v>1</v>
      </c>
      <c r="J194">
        <v>7.0000000000000021E-2</v>
      </c>
      <c r="K194" s="6">
        <v>5</v>
      </c>
      <c r="L194" s="6">
        <v>1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0</v>
      </c>
      <c r="W194">
        <v>0</v>
      </c>
      <c r="X194">
        <v>90</v>
      </c>
      <c r="Y194">
        <v>25</v>
      </c>
      <c r="Z194">
        <v>25</v>
      </c>
      <c r="AA194">
        <v>0</v>
      </c>
      <c r="AB194">
        <v>31000</v>
      </c>
      <c r="AC194">
        <v>10.1</v>
      </c>
      <c r="AD194">
        <v>0</v>
      </c>
      <c r="AE194">
        <v>6</v>
      </c>
      <c r="AF194">
        <v>6</v>
      </c>
      <c r="AG194">
        <v>0.99967419354838716</v>
      </c>
      <c r="AH194">
        <v>186000</v>
      </c>
      <c r="AI194">
        <v>60.599999999999994</v>
      </c>
      <c r="AJ194">
        <v>185939.4</v>
      </c>
      <c r="AK194">
        <v>252.5</v>
      </c>
      <c r="AL194" s="4">
        <v>0.24</v>
      </c>
      <c r="AM194">
        <f t="shared" si="2"/>
        <v>50</v>
      </c>
      <c r="AN194" s="5">
        <v>0.5</v>
      </c>
      <c r="AO194" s="4">
        <v>7.0000000000000021E-2</v>
      </c>
      <c r="AQ194">
        <v>0.5</v>
      </c>
    </row>
    <row r="195" spans="1:43" x14ac:dyDescent="0.25">
      <c r="A195">
        <v>194</v>
      </c>
      <c r="B195" t="s">
        <v>82</v>
      </c>
      <c r="C195" t="s">
        <v>44</v>
      </c>
      <c r="D195" t="s">
        <v>82</v>
      </c>
      <c r="E195" t="s">
        <v>280</v>
      </c>
      <c r="F195" t="s">
        <v>45</v>
      </c>
      <c r="G195" t="s">
        <v>45</v>
      </c>
      <c r="H195">
        <v>1</v>
      </c>
      <c r="I195">
        <v>1</v>
      </c>
      <c r="J195">
        <v>6.3720000000000001E-3</v>
      </c>
      <c r="K195" s="6">
        <v>12</v>
      </c>
      <c r="L195" s="6">
        <v>12</v>
      </c>
      <c r="M195" s="6">
        <v>17</v>
      </c>
      <c r="N195" s="6">
        <v>11</v>
      </c>
      <c r="O195" s="6">
        <v>10</v>
      </c>
      <c r="P195" s="6">
        <v>10</v>
      </c>
      <c r="Q195" s="6">
        <v>20</v>
      </c>
      <c r="R195" s="6">
        <v>4</v>
      </c>
      <c r="S195" s="6">
        <v>18</v>
      </c>
      <c r="T195" s="6">
        <v>-4</v>
      </c>
      <c r="U195" s="6">
        <v>26</v>
      </c>
      <c r="V195" s="6">
        <v>2</v>
      </c>
      <c r="W195">
        <v>1</v>
      </c>
      <c r="X195">
        <v>90</v>
      </c>
      <c r="Y195">
        <v>36</v>
      </c>
      <c r="Z195">
        <v>36</v>
      </c>
      <c r="AA195">
        <v>0</v>
      </c>
      <c r="AB195">
        <v>1343</v>
      </c>
      <c r="AC195">
        <v>740.29</v>
      </c>
      <c r="AD195">
        <v>0</v>
      </c>
      <c r="AE195">
        <v>138</v>
      </c>
      <c r="AF195">
        <v>138</v>
      </c>
      <c r="AG195">
        <v>0.44877885331347728</v>
      </c>
      <c r="AH195">
        <v>185334</v>
      </c>
      <c r="AI195">
        <v>102160.01999999999</v>
      </c>
      <c r="AJ195">
        <v>83173.98000000001</v>
      </c>
      <c r="AK195">
        <v>26650.44</v>
      </c>
      <c r="AL195" s="4">
        <v>3.833333333333333</v>
      </c>
      <c r="AM195">
        <f t="shared" ref="AM195:AM244" si="3">12/AL195</f>
        <v>3.1304347826086958</v>
      </c>
      <c r="AN195" s="5">
        <v>11.5</v>
      </c>
      <c r="AO195" s="4">
        <v>0.11534500000000003</v>
      </c>
      <c r="AQ195">
        <v>0.5</v>
      </c>
    </row>
    <row r="196" spans="1:43" x14ac:dyDescent="0.25">
      <c r="A196">
        <v>195</v>
      </c>
      <c r="B196" t="s">
        <v>84</v>
      </c>
      <c r="C196" t="s">
        <v>44</v>
      </c>
      <c r="D196" t="s">
        <v>84</v>
      </c>
      <c r="E196" t="s">
        <v>281</v>
      </c>
      <c r="F196" t="s">
        <v>45</v>
      </c>
      <c r="G196" t="s">
        <v>45</v>
      </c>
      <c r="H196">
        <v>1</v>
      </c>
      <c r="I196">
        <v>1</v>
      </c>
      <c r="J196">
        <v>1.9440000000000002E-2</v>
      </c>
      <c r="K196" s="6">
        <v>0</v>
      </c>
      <c r="L196" s="6">
        <v>5</v>
      </c>
      <c r="M196" s="6">
        <v>15</v>
      </c>
      <c r="N196" s="6">
        <v>14</v>
      </c>
      <c r="O196" s="6">
        <v>0</v>
      </c>
      <c r="P196" s="6">
        <v>1</v>
      </c>
      <c r="Q196" s="6">
        <v>5</v>
      </c>
      <c r="R196" s="6">
        <v>2</v>
      </c>
      <c r="S196" s="6">
        <v>0</v>
      </c>
      <c r="T196" s="6">
        <v>0</v>
      </c>
      <c r="U196" s="6">
        <v>0</v>
      </c>
      <c r="V196" s="6">
        <v>0</v>
      </c>
      <c r="W196">
        <v>0</v>
      </c>
      <c r="X196">
        <v>90</v>
      </c>
      <c r="Y196">
        <v>40</v>
      </c>
      <c r="Z196">
        <v>40</v>
      </c>
      <c r="AA196">
        <v>0</v>
      </c>
      <c r="AB196">
        <v>4409</v>
      </c>
      <c r="AC196">
        <v>2189.2399999999998</v>
      </c>
      <c r="AD196">
        <v>0</v>
      </c>
      <c r="AE196">
        <v>42</v>
      </c>
      <c r="AF196">
        <v>42</v>
      </c>
      <c r="AG196">
        <v>0.5034611022907689</v>
      </c>
      <c r="AH196">
        <v>185178</v>
      </c>
      <c r="AI196">
        <v>91948.079999999987</v>
      </c>
      <c r="AJ196">
        <v>93229.920000000013</v>
      </c>
      <c r="AK196">
        <v>87569.599999999991</v>
      </c>
      <c r="AL196" s="4">
        <v>1.05</v>
      </c>
      <c r="AM196">
        <f t="shared" si="3"/>
        <v>11.428571428571429</v>
      </c>
      <c r="AN196" s="5">
        <v>3.5</v>
      </c>
      <c r="AO196" s="4">
        <v>5.0490000000000014E-2</v>
      </c>
      <c r="AQ196">
        <v>0.5</v>
      </c>
    </row>
    <row r="197" spans="1:43" x14ac:dyDescent="0.25">
      <c r="A197">
        <v>196</v>
      </c>
      <c r="B197" t="s">
        <v>86</v>
      </c>
      <c r="C197" t="s">
        <v>44</v>
      </c>
      <c r="D197" t="s">
        <v>86</v>
      </c>
      <c r="E197" t="s">
        <v>282</v>
      </c>
      <c r="F197" t="s">
        <v>45</v>
      </c>
      <c r="G197" t="s">
        <v>45</v>
      </c>
      <c r="H197">
        <v>1</v>
      </c>
      <c r="I197">
        <v>1</v>
      </c>
      <c r="J197">
        <v>2.7524999999999999</v>
      </c>
      <c r="K197" s="6">
        <v>1</v>
      </c>
      <c r="L197" s="6">
        <v>0</v>
      </c>
      <c r="M197" s="6">
        <v>0</v>
      </c>
      <c r="N197" s="6">
        <v>47</v>
      </c>
      <c r="O197" s="6">
        <v>0</v>
      </c>
      <c r="P197" s="6">
        <v>21</v>
      </c>
      <c r="Q197" s="6">
        <v>10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>
        <v>1</v>
      </c>
      <c r="X197">
        <v>90</v>
      </c>
      <c r="Y197">
        <v>367</v>
      </c>
      <c r="Z197">
        <v>367</v>
      </c>
      <c r="AA197">
        <v>0</v>
      </c>
      <c r="AB197">
        <v>2300</v>
      </c>
      <c r="AC197">
        <v>345.1</v>
      </c>
      <c r="AD197">
        <v>0</v>
      </c>
      <c r="AE197">
        <v>79</v>
      </c>
      <c r="AF197">
        <v>79</v>
      </c>
      <c r="AG197">
        <v>0.8499565217391305</v>
      </c>
      <c r="AH197">
        <v>181700</v>
      </c>
      <c r="AI197">
        <v>27262.9</v>
      </c>
      <c r="AJ197">
        <v>154437.1</v>
      </c>
      <c r="AK197">
        <v>126651.70000000001</v>
      </c>
      <c r="AL197" s="4">
        <v>0.21525885558583105</v>
      </c>
      <c r="AM197">
        <f t="shared" si="3"/>
        <v>55.74683544303798</v>
      </c>
      <c r="AN197" s="5">
        <v>6.583333333333333</v>
      </c>
      <c r="AO197" s="4">
        <v>1.6500000000000001</v>
      </c>
      <c r="AQ197">
        <v>0.5</v>
      </c>
    </row>
    <row r="198" spans="1:43" x14ac:dyDescent="0.25">
      <c r="A198">
        <v>197</v>
      </c>
      <c r="B198" t="s">
        <v>86</v>
      </c>
      <c r="C198" t="s">
        <v>44</v>
      </c>
      <c r="D198" t="s">
        <v>86</v>
      </c>
      <c r="E198" t="s">
        <v>283</v>
      </c>
      <c r="F198" t="s">
        <v>45</v>
      </c>
      <c r="G198" t="s">
        <v>45</v>
      </c>
      <c r="H198">
        <v>1</v>
      </c>
      <c r="I198">
        <v>1</v>
      </c>
      <c r="J198">
        <v>0</v>
      </c>
      <c r="K198" s="6">
        <v>99</v>
      </c>
      <c r="L198" s="6">
        <v>2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>
        <v>0</v>
      </c>
      <c r="X198">
        <v>90</v>
      </c>
      <c r="Y198">
        <v>0</v>
      </c>
      <c r="Z198">
        <v>0</v>
      </c>
      <c r="AA198">
        <v>0</v>
      </c>
      <c r="AB198">
        <v>1700</v>
      </c>
      <c r="AC198">
        <v>416.17</v>
      </c>
      <c r="AD198">
        <v>0</v>
      </c>
      <c r="AE198">
        <v>101</v>
      </c>
      <c r="AF198">
        <v>101</v>
      </c>
      <c r="AG198">
        <v>0.75519411764705879</v>
      </c>
      <c r="AH198">
        <v>171700</v>
      </c>
      <c r="AI198">
        <v>42033.17</v>
      </c>
      <c r="AJ198">
        <v>129666.83</v>
      </c>
      <c r="AK198">
        <v>0</v>
      </c>
      <c r="AL198" s="4">
        <v>0</v>
      </c>
      <c r="AM198">
        <v>0</v>
      </c>
      <c r="AN198" s="5">
        <v>8.4166666666666661</v>
      </c>
      <c r="AO198" s="4">
        <v>0</v>
      </c>
      <c r="AQ198">
        <v>0.5</v>
      </c>
    </row>
    <row r="199" spans="1:43" x14ac:dyDescent="0.25">
      <c r="A199">
        <v>198</v>
      </c>
      <c r="B199" t="s">
        <v>86</v>
      </c>
      <c r="C199" t="s">
        <v>44</v>
      </c>
      <c r="D199" t="s">
        <v>86</v>
      </c>
      <c r="E199" t="s">
        <v>284</v>
      </c>
      <c r="F199" t="s">
        <v>45</v>
      </c>
      <c r="G199" t="s">
        <v>45</v>
      </c>
      <c r="H199">
        <v>1</v>
      </c>
      <c r="I199">
        <v>1</v>
      </c>
      <c r="J199">
        <v>8.8500000000000002E-3</v>
      </c>
      <c r="K199" s="6">
        <v>43</v>
      </c>
      <c r="L199" s="6">
        <v>3</v>
      </c>
      <c r="M199" s="6">
        <v>0</v>
      </c>
      <c r="N199" s="6">
        <v>0</v>
      </c>
      <c r="O199" s="6">
        <v>0</v>
      </c>
      <c r="P199" s="6">
        <v>40</v>
      </c>
      <c r="Q199" s="6">
        <v>3</v>
      </c>
      <c r="R199" s="6">
        <v>0</v>
      </c>
      <c r="S199" s="6">
        <v>0</v>
      </c>
      <c r="T199" s="6">
        <v>0</v>
      </c>
      <c r="U199" s="6">
        <v>8</v>
      </c>
      <c r="V199" s="6">
        <v>0</v>
      </c>
      <c r="W199">
        <v>0</v>
      </c>
      <c r="X199">
        <v>90</v>
      </c>
      <c r="Y199">
        <v>25</v>
      </c>
      <c r="Z199">
        <v>25</v>
      </c>
      <c r="AA199">
        <v>0</v>
      </c>
      <c r="AB199">
        <v>1700</v>
      </c>
      <c r="AC199">
        <v>952.76</v>
      </c>
      <c r="AD199">
        <v>0</v>
      </c>
      <c r="AE199">
        <v>97</v>
      </c>
      <c r="AF199">
        <v>97</v>
      </c>
      <c r="AG199">
        <v>0.43955294117647059</v>
      </c>
      <c r="AH199">
        <v>164900</v>
      </c>
      <c r="AI199">
        <v>92417.72</v>
      </c>
      <c r="AJ199">
        <v>72482.28</v>
      </c>
      <c r="AK199">
        <v>23819</v>
      </c>
      <c r="AL199" s="4">
        <v>3.88</v>
      </c>
      <c r="AM199">
        <f t="shared" si="3"/>
        <v>3.0927835051546393</v>
      </c>
      <c r="AN199" s="5">
        <v>8.0833333333333339</v>
      </c>
      <c r="AO199" s="4">
        <v>5.6640000000000003E-2</v>
      </c>
      <c r="AQ199">
        <v>0.5</v>
      </c>
    </row>
    <row r="200" spans="1:43" x14ac:dyDescent="0.25">
      <c r="A200">
        <v>199</v>
      </c>
      <c r="B200" t="s">
        <v>86</v>
      </c>
      <c r="C200" t="s">
        <v>44</v>
      </c>
      <c r="D200" t="s">
        <v>86</v>
      </c>
      <c r="E200" t="s">
        <v>285</v>
      </c>
      <c r="F200" t="s">
        <v>45</v>
      </c>
      <c r="G200" t="s">
        <v>45</v>
      </c>
      <c r="H200">
        <v>1</v>
      </c>
      <c r="I200">
        <v>1</v>
      </c>
      <c r="J200">
        <v>8.8500000000000002E-3</v>
      </c>
      <c r="K200" s="6">
        <v>0</v>
      </c>
      <c r="L200" s="6">
        <v>4</v>
      </c>
      <c r="M200" s="6">
        <v>2</v>
      </c>
      <c r="N200" s="6">
        <v>1</v>
      </c>
      <c r="O200" s="6">
        <v>1</v>
      </c>
      <c r="P200" s="6">
        <v>0</v>
      </c>
      <c r="Q200" s="6">
        <v>40</v>
      </c>
      <c r="R200" s="6">
        <v>14</v>
      </c>
      <c r="S200" s="6">
        <v>16</v>
      </c>
      <c r="T200" s="6">
        <v>7</v>
      </c>
      <c r="U200" s="6">
        <v>0</v>
      </c>
      <c r="V200" s="6">
        <v>0</v>
      </c>
      <c r="W200">
        <v>0</v>
      </c>
      <c r="X200">
        <v>90</v>
      </c>
      <c r="Y200">
        <v>25</v>
      </c>
      <c r="Z200">
        <v>25</v>
      </c>
      <c r="AA200">
        <v>0</v>
      </c>
      <c r="AB200">
        <v>1700</v>
      </c>
      <c r="AC200">
        <v>355.76</v>
      </c>
      <c r="AD200">
        <v>0</v>
      </c>
      <c r="AE200">
        <v>85</v>
      </c>
      <c r="AF200">
        <v>85</v>
      </c>
      <c r="AG200">
        <v>0.7907294117647059</v>
      </c>
      <c r="AH200">
        <v>144500</v>
      </c>
      <c r="AI200">
        <v>30239.599999999999</v>
      </c>
      <c r="AJ200">
        <v>114260.4</v>
      </c>
      <c r="AK200">
        <v>8894</v>
      </c>
      <c r="AL200" s="4">
        <v>3.4</v>
      </c>
      <c r="AM200">
        <f t="shared" si="3"/>
        <v>3.5294117647058822</v>
      </c>
      <c r="AN200" s="5">
        <v>7.083333333333333</v>
      </c>
      <c r="AO200" s="4">
        <v>5.6640000000000003E-2</v>
      </c>
      <c r="AQ200">
        <v>0.5</v>
      </c>
    </row>
    <row r="201" spans="1:43" x14ac:dyDescent="0.25">
      <c r="A201">
        <v>200</v>
      </c>
      <c r="B201" t="s">
        <v>83</v>
      </c>
      <c r="C201" t="s">
        <v>44</v>
      </c>
      <c r="D201" t="s">
        <v>83</v>
      </c>
      <c r="E201" t="s">
        <v>286</v>
      </c>
      <c r="F201" t="s">
        <v>45</v>
      </c>
      <c r="G201" t="s">
        <v>45</v>
      </c>
      <c r="H201">
        <v>1</v>
      </c>
      <c r="I201">
        <v>1</v>
      </c>
      <c r="J201">
        <v>1.7879400000000001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44.1</v>
      </c>
      <c r="V201" s="6">
        <v>56.7</v>
      </c>
      <c r="W201">
        <v>4</v>
      </c>
      <c r="X201">
        <v>90</v>
      </c>
      <c r="Y201">
        <v>1419</v>
      </c>
      <c r="Z201">
        <v>1419</v>
      </c>
      <c r="AA201">
        <v>0</v>
      </c>
      <c r="AB201">
        <v>1123</v>
      </c>
      <c r="AC201">
        <v>956.11</v>
      </c>
      <c r="AD201">
        <v>0</v>
      </c>
      <c r="AE201">
        <v>100.80000000000001</v>
      </c>
      <c r="AF201">
        <v>100.80000000000001</v>
      </c>
      <c r="AG201">
        <v>0.14861086375779159</v>
      </c>
      <c r="AH201">
        <v>113198.40000000001</v>
      </c>
      <c r="AI201">
        <v>96375.888000000006</v>
      </c>
      <c r="AJ201">
        <v>16822.512000000002</v>
      </c>
      <c r="AK201">
        <v>1356720.09</v>
      </c>
      <c r="AL201" s="4">
        <v>7.1035940803382658E-2</v>
      </c>
      <c r="AM201">
        <f t="shared" si="3"/>
        <v>168.92857142857144</v>
      </c>
      <c r="AN201" s="5">
        <v>8.4</v>
      </c>
      <c r="AO201" s="4">
        <v>29.799000000000007</v>
      </c>
      <c r="AQ201">
        <v>0.5</v>
      </c>
    </row>
    <row r="202" spans="1:43" x14ac:dyDescent="0.25">
      <c r="A202">
        <v>201</v>
      </c>
      <c r="B202" t="s">
        <v>82</v>
      </c>
      <c r="C202" t="s">
        <v>44</v>
      </c>
      <c r="D202" t="s">
        <v>82</v>
      </c>
      <c r="E202" t="s">
        <v>287</v>
      </c>
      <c r="F202" t="s">
        <v>45</v>
      </c>
      <c r="G202" t="s">
        <v>45</v>
      </c>
      <c r="H202">
        <v>1</v>
      </c>
      <c r="I202">
        <v>1</v>
      </c>
      <c r="J202">
        <v>5.1920000000000004E-3</v>
      </c>
      <c r="K202" s="6">
        <v>2</v>
      </c>
      <c r="L202" s="6">
        <v>24</v>
      </c>
      <c r="M202" s="6">
        <v>5</v>
      </c>
      <c r="N202" s="6">
        <v>9</v>
      </c>
      <c r="O202" s="6">
        <v>3</v>
      </c>
      <c r="P202" s="6">
        <v>6</v>
      </c>
      <c r="Q202" s="6">
        <v>7</v>
      </c>
      <c r="R202" s="6">
        <v>4</v>
      </c>
      <c r="S202" s="6">
        <v>6</v>
      </c>
      <c r="T202" s="6">
        <v>10</v>
      </c>
      <c r="U202" s="6">
        <v>0</v>
      </c>
      <c r="V202" s="6">
        <v>0</v>
      </c>
      <c r="W202">
        <v>0</v>
      </c>
      <c r="X202">
        <v>90</v>
      </c>
      <c r="Y202">
        <v>22</v>
      </c>
      <c r="Z202">
        <v>22</v>
      </c>
      <c r="AA202">
        <v>0</v>
      </c>
      <c r="AB202">
        <v>1460</v>
      </c>
      <c r="AC202">
        <v>676.61</v>
      </c>
      <c r="AD202">
        <v>0</v>
      </c>
      <c r="AE202">
        <v>76</v>
      </c>
      <c r="AF202">
        <v>76</v>
      </c>
      <c r="AG202">
        <v>0.53656849315068489</v>
      </c>
      <c r="AH202">
        <v>110960</v>
      </c>
      <c r="AI202">
        <v>51422.36</v>
      </c>
      <c r="AJ202">
        <v>59537.64</v>
      </c>
      <c r="AK202">
        <v>14885.42</v>
      </c>
      <c r="AL202" s="4">
        <v>3.4545454545454546</v>
      </c>
      <c r="AM202">
        <f t="shared" si="3"/>
        <v>3.4736842105263159</v>
      </c>
      <c r="AN202" s="5">
        <v>6.333333333333333</v>
      </c>
      <c r="AO202" s="4">
        <v>0.11534500000000003</v>
      </c>
      <c r="AQ202">
        <v>0.5</v>
      </c>
    </row>
    <row r="203" spans="1:43" x14ac:dyDescent="0.25">
      <c r="A203">
        <v>202</v>
      </c>
      <c r="B203" t="s">
        <v>86</v>
      </c>
      <c r="C203" t="s">
        <v>44</v>
      </c>
      <c r="D203" t="s">
        <v>86</v>
      </c>
      <c r="E203" t="s">
        <v>288</v>
      </c>
      <c r="F203" t="s">
        <v>45</v>
      </c>
      <c r="G203" t="s">
        <v>45</v>
      </c>
      <c r="H203">
        <v>1</v>
      </c>
      <c r="I203">
        <v>1</v>
      </c>
      <c r="J203">
        <v>1.9470000000000001E-2</v>
      </c>
      <c r="K203" s="6">
        <v>18</v>
      </c>
      <c r="L203" s="6">
        <v>0</v>
      </c>
      <c r="M203" s="6">
        <v>0</v>
      </c>
      <c r="N203" s="6">
        <v>0</v>
      </c>
      <c r="O203" s="6">
        <v>12</v>
      </c>
      <c r="P203" s="6">
        <v>2</v>
      </c>
      <c r="Q203" s="6">
        <v>21</v>
      </c>
      <c r="R203" s="6">
        <v>5</v>
      </c>
      <c r="S203" s="6">
        <v>0</v>
      </c>
      <c r="T203" s="6">
        <v>5</v>
      </c>
      <c r="U203" s="6">
        <v>2</v>
      </c>
      <c r="V203" s="6">
        <v>0</v>
      </c>
      <c r="W203">
        <v>1</v>
      </c>
      <c r="X203">
        <v>90</v>
      </c>
      <c r="Y203">
        <v>55</v>
      </c>
      <c r="Z203">
        <v>55</v>
      </c>
      <c r="AA203">
        <v>0</v>
      </c>
      <c r="AB203">
        <v>1700</v>
      </c>
      <c r="AC203">
        <v>618.16999999999996</v>
      </c>
      <c r="AD203">
        <v>0</v>
      </c>
      <c r="AE203">
        <v>65</v>
      </c>
      <c r="AF203">
        <v>65</v>
      </c>
      <c r="AG203">
        <v>0.63637058823529402</v>
      </c>
      <c r="AH203">
        <v>110500</v>
      </c>
      <c r="AI203">
        <v>40181.049999999996</v>
      </c>
      <c r="AJ203">
        <v>70318.950000000012</v>
      </c>
      <c r="AK203">
        <v>33999.35</v>
      </c>
      <c r="AL203" s="4">
        <v>1.1818181818181817</v>
      </c>
      <c r="AM203">
        <f t="shared" si="3"/>
        <v>10.153846153846155</v>
      </c>
      <c r="AN203" s="5">
        <v>5.416666666666667</v>
      </c>
      <c r="AO203" s="4">
        <v>0.11328000000000001</v>
      </c>
      <c r="AQ203">
        <v>0.5</v>
      </c>
    </row>
    <row r="204" spans="1:43" x14ac:dyDescent="0.25">
      <c r="A204">
        <v>203</v>
      </c>
      <c r="B204" t="s">
        <v>85</v>
      </c>
      <c r="C204" t="s">
        <v>44</v>
      </c>
      <c r="D204" t="s">
        <v>85</v>
      </c>
      <c r="E204" t="s">
        <v>289</v>
      </c>
      <c r="F204" t="s">
        <v>45</v>
      </c>
      <c r="G204" t="s">
        <v>45</v>
      </c>
      <c r="H204">
        <v>1</v>
      </c>
      <c r="I204">
        <v>1</v>
      </c>
      <c r="J204">
        <v>4.1999999999999997E-3</v>
      </c>
      <c r="K204" s="6">
        <v>0</v>
      </c>
      <c r="L204" s="6">
        <v>3</v>
      </c>
      <c r="M204" s="6">
        <v>6</v>
      </c>
      <c r="N204" s="6">
        <v>0</v>
      </c>
      <c r="O204" s="6">
        <v>0</v>
      </c>
      <c r="P204" s="6">
        <v>1</v>
      </c>
      <c r="Q204" s="6">
        <v>4</v>
      </c>
      <c r="R204" s="6">
        <v>0</v>
      </c>
      <c r="S204" s="6">
        <v>11</v>
      </c>
      <c r="T204" s="6">
        <v>2</v>
      </c>
      <c r="U204" s="6">
        <v>1</v>
      </c>
      <c r="V204" s="6">
        <v>0</v>
      </c>
      <c r="W204">
        <v>1</v>
      </c>
      <c r="X204">
        <v>90</v>
      </c>
      <c r="Y204">
        <v>7</v>
      </c>
      <c r="Z204">
        <v>7</v>
      </c>
      <c r="AA204">
        <v>0</v>
      </c>
      <c r="AB204">
        <v>3800</v>
      </c>
      <c r="AC204">
        <v>1625.1</v>
      </c>
      <c r="AD204">
        <v>0</v>
      </c>
      <c r="AE204">
        <v>28</v>
      </c>
      <c r="AF204">
        <v>28</v>
      </c>
      <c r="AG204">
        <v>0.57234210526315787</v>
      </c>
      <c r="AH204">
        <v>106400</v>
      </c>
      <c r="AI204">
        <v>45502.799999999996</v>
      </c>
      <c r="AJ204">
        <v>60897.200000000004</v>
      </c>
      <c r="AK204">
        <v>11375.699999999999</v>
      </c>
      <c r="AL204" s="4">
        <v>4</v>
      </c>
      <c r="AM204">
        <f t="shared" si="3"/>
        <v>3</v>
      </c>
      <c r="AN204" s="5">
        <v>2.3333333333333335</v>
      </c>
      <c r="AO204" s="4">
        <v>2.8799999999999999E-2</v>
      </c>
      <c r="AQ204">
        <v>0.5</v>
      </c>
    </row>
    <row r="205" spans="1:43" x14ac:dyDescent="0.25">
      <c r="A205">
        <v>204</v>
      </c>
      <c r="B205" t="s">
        <v>85</v>
      </c>
      <c r="C205" t="s">
        <v>44</v>
      </c>
      <c r="D205" t="s">
        <v>85</v>
      </c>
      <c r="E205" t="s">
        <v>290</v>
      </c>
      <c r="F205" t="s">
        <v>45</v>
      </c>
      <c r="G205" t="s">
        <v>45</v>
      </c>
      <c r="H205">
        <v>1</v>
      </c>
      <c r="I205">
        <v>1</v>
      </c>
      <c r="J205">
        <v>4.7999999999999996E-3</v>
      </c>
      <c r="K205" s="6">
        <v>1</v>
      </c>
      <c r="L205" s="6">
        <v>0</v>
      </c>
      <c r="M205" s="6">
        <v>2</v>
      </c>
      <c r="N205" s="6">
        <v>-2</v>
      </c>
      <c r="O205" s="6">
        <v>0</v>
      </c>
      <c r="P205" s="6">
        <v>22</v>
      </c>
      <c r="Q205" s="6">
        <v>0</v>
      </c>
      <c r="R205" s="6">
        <v>0</v>
      </c>
      <c r="S205" s="6">
        <v>0</v>
      </c>
      <c r="T205" s="6">
        <v>0</v>
      </c>
      <c r="U205" s="6">
        <v>4</v>
      </c>
      <c r="V205" s="6">
        <v>0</v>
      </c>
      <c r="W205">
        <v>1</v>
      </c>
      <c r="X205">
        <v>90</v>
      </c>
      <c r="Y205">
        <v>8</v>
      </c>
      <c r="Z205">
        <v>8</v>
      </c>
      <c r="AA205">
        <v>0</v>
      </c>
      <c r="AB205">
        <v>3800</v>
      </c>
      <c r="AC205">
        <v>1647.09</v>
      </c>
      <c r="AD205">
        <v>0</v>
      </c>
      <c r="AE205">
        <v>27</v>
      </c>
      <c r="AF205">
        <v>27</v>
      </c>
      <c r="AG205">
        <v>0.56655526315789473</v>
      </c>
      <c r="AH205">
        <v>102600</v>
      </c>
      <c r="AI205">
        <v>44471.43</v>
      </c>
      <c r="AJ205">
        <v>58128.57</v>
      </c>
      <c r="AK205">
        <v>13176.72</v>
      </c>
      <c r="AL205" s="4">
        <v>3.375</v>
      </c>
      <c r="AM205">
        <f t="shared" si="3"/>
        <v>3.5555555555555554</v>
      </c>
      <c r="AN205" s="5">
        <v>2.25</v>
      </c>
      <c r="AO205" s="4">
        <v>2.8799999999999999E-2</v>
      </c>
      <c r="AQ205">
        <v>0.5</v>
      </c>
    </row>
    <row r="206" spans="1:43" x14ac:dyDescent="0.25">
      <c r="A206">
        <v>205</v>
      </c>
      <c r="B206" t="s">
        <v>86</v>
      </c>
      <c r="C206" t="s">
        <v>44</v>
      </c>
      <c r="D206" t="s">
        <v>86</v>
      </c>
      <c r="E206" t="s">
        <v>291</v>
      </c>
      <c r="F206" t="s">
        <v>45</v>
      </c>
      <c r="G206" t="s">
        <v>45</v>
      </c>
      <c r="H206">
        <v>1</v>
      </c>
      <c r="I206">
        <v>1</v>
      </c>
      <c r="J206">
        <v>3.3984E-2</v>
      </c>
      <c r="K206" s="6">
        <v>47</v>
      </c>
      <c r="L206" s="6">
        <v>1</v>
      </c>
      <c r="M206" s="6">
        <v>0</v>
      </c>
      <c r="N206" s="6">
        <v>2</v>
      </c>
      <c r="O206" s="6">
        <v>2</v>
      </c>
      <c r="P206" s="6">
        <v>4</v>
      </c>
      <c r="Q206" s="6">
        <v>0</v>
      </c>
      <c r="R206" s="6">
        <v>0</v>
      </c>
      <c r="S206" s="6">
        <v>2</v>
      </c>
      <c r="T206" s="6">
        <v>2</v>
      </c>
      <c r="U206" s="6">
        <v>0</v>
      </c>
      <c r="V206" s="6">
        <v>0</v>
      </c>
      <c r="W206">
        <v>1</v>
      </c>
      <c r="X206">
        <v>90</v>
      </c>
      <c r="Y206">
        <v>96</v>
      </c>
      <c r="Z206">
        <v>96</v>
      </c>
      <c r="AA206">
        <v>0</v>
      </c>
      <c r="AB206">
        <v>1700</v>
      </c>
      <c r="AC206">
        <v>439.36</v>
      </c>
      <c r="AD206">
        <v>0</v>
      </c>
      <c r="AE206">
        <v>60</v>
      </c>
      <c r="AF206">
        <v>60</v>
      </c>
      <c r="AG206">
        <v>0.74155294117647053</v>
      </c>
      <c r="AH206">
        <v>102000</v>
      </c>
      <c r="AI206">
        <v>26361.600000000002</v>
      </c>
      <c r="AJ206">
        <v>75638.399999999994</v>
      </c>
      <c r="AK206">
        <v>42178.559999999998</v>
      </c>
      <c r="AL206" s="4">
        <v>0.62500000000000011</v>
      </c>
      <c r="AM206">
        <f t="shared" si="3"/>
        <v>19.199999999999996</v>
      </c>
      <c r="AN206" s="5">
        <v>5</v>
      </c>
      <c r="AO206" s="4">
        <v>0.16992000000000002</v>
      </c>
      <c r="AQ206">
        <v>0.5</v>
      </c>
    </row>
    <row r="207" spans="1:43" x14ac:dyDescent="0.25">
      <c r="A207">
        <v>206</v>
      </c>
      <c r="B207" t="s">
        <v>82</v>
      </c>
      <c r="C207" t="s">
        <v>44</v>
      </c>
      <c r="D207" t="s">
        <v>82</v>
      </c>
      <c r="E207" t="s">
        <v>292</v>
      </c>
      <c r="F207" t="s">
        <v>45</v>
      </c>
      <c r="G207" t="s">
        <v>45</v>
      </c>
      <c r="H207">
        <v>1</v>
      </c>
      <c r="I207">
        <v>1</v>
      </c>
      <c r="J207">
        <v>2.8320000000000003E-3</v>
      </c>
      <c r="K207" s="6">
        <v>18</v>
      </c>
      <c r="L207" s="6">
        <v>7</v>
      </c>
      <c r="M207" s="6">
        <v>11</v>
      </c>
      <c r="N207" s="6">
        <v>10</v>
      </c>
      <c r="O207" s="6">
        <v>0</v>
      </c>
      <c r="P207" s="6">
        <v>3</v>
      </c>
      <c r="Q207" s="6">
        <v>-3</v>
      </c>
      <c r="R207" s="6">
        <v>8</v>
      </c>
      <c r="S207" s="6">
        <v>0</v>
      </c>
      <c r="T207" s="6">
        <v>5</v>
      </c>
      <c r="U207" s="6">
        <v>0</v>
      </c>
      <c r="V207" s="6">
        <v>10</v>
      </c>
      <c r="W207">
        <v>0</v>
      </c>
      <c r="X207">
        <v>90</v>
      </c>
      <c r="Y207">
        <v>12</v>
      </c>
      <c r="Z207">
        <v>12</v>
      </c>
      <c r="AA207">
        <v>0</v>
      </c>
      <c r="AB207">
        <v>1460</v>
      </c>
      <c r="AC207">
        <v>1395.87</v>
      </c>
      <c r="AD207">
        <v>0</v>
      </c>
      <c r="AE207">
        <v>69</v>
      </c>
      <c r="AF207">
        <v>69</v>
      </c>
      <c r="AG207">
        <v>4.3924657534246653E-2</v>
      </c>
      <c r="AH207">
        <v>100740</v>
      </c>
      <c r="AI207">
        <v>96315.03</v>
      </c>
      <c r="AJ207">
        <v>4424.9700000000012</v>
      </c>
      <c r="AK207">
        <v>16750.439999999999</v>
      </c>
      <c r="AL207" s="4">
        <v>5.75</v>
      </c>
      <c r="AM207">
        <f t="shared" si="3"/>
        <v>2.0869565217391304</v>
      </c>
      <c r="AN207" s="5">
        <v>5.75</v>
      </c>
      <c r="AO207" s="4">
        <v>0.11534500000000003</v>
      </c>
      <c r="AQ207">
        <v>0.5</v>
      </c>
    </row>
    <row r="208" spans="1:43" x14ac:dyDescent="0.25">
      <c r="A208">
        <v>207</v>
      </c>
      <c r="B208" t="s">
        <v>82</v>
      </c>
      <c r="C208" t="s">
        <v>44</v>
      </c>
      <c r="D208" t="s">
        <v>82</v>
      </c>
      <c r="E208" t="s">
        <v>293</v>
      </c>
      <c r="F208" t="s">
        <v>45</v>
      </c>
      <c r="G208" t="s">
        <v>45</v>
      </c>
      <c r="H208">
        <v>1</v>
      </c>
      <c r="I208">
        <v>1</v>
      </c>
      <c r="J208">
        <v>2.5960000000000002E-3</v>
      </c>
      <c r="K208" s="6">
        <v>2</v>
      </c>
      <c r="L208" s="6">
        <v>2</v>
      </c>
      <c r="M208" s="6">
        <v>0</v>
      </c>
      <c r="N208" s="6">
        <v>0</v>
      </c>
      <c r="O208" s="6">
        <v>0</v>
      </c>
      <c r="P208" s="6">
        <v>1</v>
      </c>
      <c r="Q208" s="6">
        <v>3</v>
      </c>
      <c r="R208" s="6">
        <v>0</v>
      </c>
      <c r="S208" s="6">
        <v>10</v>
      </c>
      <c r="T208" s="6">
        <v>7</v>
      </c>
      <c r="U208" s="6">
        <v>6</v>
      </c>
      <c r="V208" s="6">
        <v>7</v>
      </c>
      <c r="W208">
        <v>0</v>
      </c>
      <c r="X208">
        <v>90</v>
      </c>
      <c r="Y208">
        <v>11</v>
      </c>
      <c r="Z208">
        <v>11</v>
      </c>
      <c r="AA208">
        <v>0</v>
      </c>
      <c r="AB208">
        <v>2400</v>
      </c>
      <c r="AC208">
        <v>1338.54</v>
      </c>
      <c r="AD208">
        <v>0</v>
      </c>
      <c r="AE208">
        <v>38</v>
      </c>
      <c r="AF208">
        <v>38</v>
      </c>
      <c r="AG208">
        <v>0.44227499999999997</v>
      </c>
      <c r="AH208">
        <v>91200</v>
      </c>
      <c r="AI208">
        <v>50864.52</v>
      </c>
      <c r="AJ208">
        <v>40335.480000000003</v>
      </c>
      <c r="AK208">
        <v>14723.939999999999</v>
      </c>
      <c r="AL208" s="4">
        <v>3.4545454545454546</v>
      </c>
      <c r="AM208">
        <f t="shared" si="3"/>
        <v>3.4736842105263159</v>
      </c>
      <c r="AN208" s="5">
        <v>3.1666666666666665</v>
      </c>
      <c r="AO208" s="4">
        <v>0.11534500000000003</v>
      </c>
      <c r="AQ208">
        <v>0.5</v>
      </c>
    </row>
    <row r="209" spans="1:43" x14ac:dyDescent="0.25">
      <c r="A209">
        <v>208</v>
      </c>
      <c r="B209" t="s">
        <v>85</v>
      </c>
      <c r="C209" t="s">
        <v>44</v>
      </c>
      <c r="D209" t="s">
        <v>85</v>
      </c>
      <c r="E209" t="s">
        <v>294</v>
      </c>
      <c r="F209" t="s">
        <v>45</v>
      </c>
      <c r="G209" t="s">
        <v>45</v>
      </c>
      <c r="H209">
        <v>1</v>
      </c>
      <c r="I209">
        <v>1</v>
      </c>
      <c r="J209">
        <v>4.7999999999999996E-3</v>
      </c>
      <c r="K209" s="6">
        <v>0</v>
      </c>
      <c r="L209" s="6">
        <v>0</v>
      </c>
      <c r="M209" s="6">
        <v>0</v>
      </c>
      <c r="N209" s="6">
        <v>3</v>
      </c>
      <c r="O209" s="6">
        <v>9</v>
      </c>
      <c r="P209" s="6">
        <v>0</v>
      </c>
      <c r="Q209" s="6">
        <v>0</v>
      </c>
      <c r="R209" s="6">
        <v>2</v>
      </c>
      <c r="S209" s="6">
        <v>0</v>
      </c>
      <c r="T209" s="6">
        <v>8</v>
      </c>
      <c r="U209" s="6">
        <v>1</v>
      </c>
      <c r="V209" s="6">
        <v>0</v>
      </c>
      <c r="W209">
        <v>0</v>
      </c>
      <c r="X209">
        <v>90</v>
      </c>
      <c r="Y209">
        <v>8</v>
      </c>
      <c r="Z209">
        <v>8</v>
      </c>
      <c r="AA209">
        <v>0</v>
      </c>
      <c r="AB209">
        <v>3800</v>
      </c>
      <c r="AC209">
        <v>1853.53</v>
      </c>
      <c r="AD209">
        <v>0</v>
      </c>
      <c r="AE209">
        <v>23</v>
      </c>
      <c r="AF209">
        <v>23</v>
      </c>
      <c r="AG209">
        <v>0.51222894736842106</v>
      </c>
      <c r="AH209">
        <v>87400</v>
      </c>
      <c r="AI209">
        <v>42631.19</v>
      </c>
      <c r="AJ209">
        <v>44768.81</v>
      </c>
      <c r="AK209">
        <v>14828.24</v>
      </c>
      <c r="AL209" s="4">
        <v>2.875</v>
      </c>
      <c r="AM209">
        <f t="shared" si="3"/>
        <v>4.1739130434782608</v>
      </c>
      <c r="AN209" s="5">
        <v>1.9166666666666667</v>
      </c>
      <c r="AO209" s="4">
        <v>2.8799999999999999E-2</v>
      </c>
      <c r="AQ209">
        <v>0.5</v>
      </c>
    </row>
    <row r="210" spans="1:43" x14ac:dyDescent="0.25">
      <c r="A210">
        <v>209</v>
      </c>
      <c r="B210" t="s">
        <v>86</v>
      </c>
      <c r="C210" t="s">
        <v>44</v>
      </c>
      <c r="D210" t="s">
        <v>86</v>
      </c>
      <c r="E210" t="s">
        <v>295</v>
      </c>
      <c r="F210" t="s">
        <v>45</v>
      </c>
      <c r="G210" t="s">
        <v>45</v>
      </c>
      <c r="H210">
        <v>1</v>
      </c>
      <c r="I210">
        <v>1</v>
      </c>
      <c r="J210">
        <v>3.5400000000000006E-3</v>
      </c>
      <c r="K210" s="6">
        <v>2</v>
      </c>
      <c r="L210" s="6">
        <v>0</v>
      </c>
      <c r="M210" s="6">
        <v>6</v>
      </c>
      <c r="N210" s="6">
        <v>0</v>
      </c>
      <c r="O210" s="6">
        <v>0</v>
      </c>
      <c r="P210" s="6">
        <v>23</v>
      </c>
      <c r="Q210" s="6">
        <v>6</v>
      </c>
      <c r="R210" s="6">
        <v>5</v>
      </c>
      <c r="S210" s="6">
        <v>0</v>
      </c>
      <c r="T210" s="6">
        <v>5</v>
      </c>
      <c r="U210" s="6">
        <v>0</v>
      </c>
      <c r="V210" s="6">
        <v>3</v>
      </c>
      <c r="W210">
        <v>1</v>
      </c>
      <c r="X210">
        <v>90</v>
      </c>
      <c r="Y210">
        <v>10</v>
      </c>
      <c r="Z210">
        <v>10</v>
      </c>
      <c r="AA210">
        <v>0</v>
      </c>
      <c r="AB210">
        <v>1700</v>
      </c>
      <c r="AC210">
        <v>358.01</v>
      </c>
      <c r="AD210">
        <v>0</v>
      </c>
      <c r="AE210">
        <v>50</v>
      </c>
      <c r="AF210">
        <v>50</v>
      </c>
      <c r="AG210">
        <v>0.78940588235294118</v>
      </c>
      <c r="AH210">
        <v>85000</v>
      </c>
      <c r="AI210">
        <v>17900.5</v>
      </c>
      <c r="AJ210">
        <v>67099.5</v>
      </c>
      <c r="AK210">
        <v>3580.1</v>
      </c>
      <c r="AL210" s="4">
        <v>5</v>
      </c>
      <c r="AM210">
        <f t="shared" si="3"/>
        <v>2.4</v>
      </c>
      <c r="AN210" s="5">
        <v>4.166666666666667</v>
      </c>
      <c r="AO210" s="4">
        <v>5.6640000000000003E-2</v>
      </c>
      <c r="AQ210">
        <v>0.5</v>
      </c>
    </row>
    <row r="211" spans="1:43" x14ac:dyDescent="0.25">
      <c r="A211">
        <v>210</v>
      </c>
      <c r="B211" t="s">
        <v>83</v>
      </c>
      <c r="C211" t="s">
        <v>44</v>
      </c>
      <c r="D211" t="s">
        <v>83</v>
      </c>
      <c r="E211" t="s">
        <v>296</v>
      </c>
      <c r="F211" t="s">
        <v>45</v>
      </c>
      <c r="G211" t="s">
        <v>45</v>
      </c>
      <c r="H211">
        <v>1</v>
      </c>
      <c r="I211">
        <v>1</v>
      </c>
      <c r="J211">
        <v>1.384212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15</v>
      </c>
      <c r="W211">
        <v>0</v>
      </c>
      <c r="X211">
        <v>90</v>
      </c>
      <c r="Y211">
        <v>2</v>
      </c>
      <c r="Z211">
        <v>2</v>
      </c>
      <c r="AA211">
        <v>0</v>
      </c>
      <c r="AB211">
        <v>5650</v>
      </c>
      <c r="AC211">
        <v>3897</v>
      </c>
      <c r="AD211">
        <v>0</v>
      </c>
      <c r="AE211">
        <v>15</v>
      </c>
      <c r="AF211">
        <v>15</v>
      </c>
      <c r="AG211">
        <v>0.32</v>
      </c>
      <c r="AH211">
        <v>84750</v>
      </c>
      <c r="AI211">
        <v>58455</v>
      </c>
      <c r="AJ211">
        <v>26295</v>
      </c>
      <c r="AK211">
        <v>7794</v>
      </c>
      <c r="AL211" s="4">
        <v>7.5</v>
      </c>
      <c r="AM211">
        <f t="shared" si="3"/>
        <v>1.6</v>
      </c>
      <c r="AN211" s="5">
        <v>1.25</v>
      </c>
      <c r="AO211" s="4">
        <v>0.122</v>
      </c>
      <c r="AQ211">
        <v>0.5</v>
      </c>
    </row>
    <row r="212" spans="1:43" x14ac:dyDescent="0.25">
      <c r="A212">
        <v>211</v>
      </c>
      <c r="B212" t="s">
        <v>82</v>
      </c>
      <c r="C212" t="s">
        <v>44</v>
      </c>
      <c r="D212" t="s">
        <v>82</v>
      </c>
      <c r="E212" t="s">
        <v>297</v>
      </c>
      <c r="F212" t="s">
        <v>45</v>
      </c>
      <c r="G212" t="s">
        <v>45</v>
      </c>
      <c r="H212">
        <v>1</v>
      </c>
      <c r="I212">
        <v>1</v>
      </c>
      <c r="J212">
        <v>2.8319999999999999E-3</v>
      </c>
      <c r="K212" s="6">
        <v>0</v>
      </c>
      <c r="L212" s="6">
        <v>0</v>
      </c>
      <c r="M212" s="6">
        <v>9</v>
      </c>
      <c r="N212" s="6">
        <v>1</v>
      </c>
      <c r="O212" s="6">
        <v>15</v>
      </c>
      <c r="P212" s="6">
        <v>2</v>
      </c>
      <c r="Q212" s="6">
        <v>0</v>
      </c>
      <c r="R212" s="6">
        <v>10</v>
      </c>
      <c r="S212" s="6">
        <v>5</v>
      </c>
      <c r="T212" s="6">
        <v>11</v>
      </c>
      <c r="U212" s="6">
        <v>10</v>
      </c>
      <c r="V212" s="6">
        <v>0</v>
      </c>
      <c r="W212">
        <v>0</v>
      </c>
      <c r="X212">
        <v>90</v>
      </c>
      <c r="Y212">
        <v>16</v>
      </c>
      <c r="Z212">
        <v>16</v>
      </c>
      <c r="AA212">
        <v>0</v>
      </c>
      <c r="AB212">
        <v>1343</v>
      </c>
      <c r="AC212">
        <v>1043.3900000000001</v>
      </c>
      <c r="AD212">
        <v>0</v>
      </c>
      <c r="AE212">
        <v>63</v>
      </c>
      <c r="AF212">
        <v>63</v>
      </c>
      <c r="AG212">
        <v>0.2230900967982129</v>
      </c>
      <c r="AH212">
        <v>84609</v>
      </c>
      <c r="AI212">
        <v>65733.570000000007</v>
      </c>
      <c r="AJ212">
        <v>18875.429999999993</v>
      </c>
      <c r="AK212">
        <v>16694.240000000002</v>
      </c>
      <c r="AL212" s="4">
        <v>3.9375</v>
      </c>
      <c r="AM212">
        <f t="shared" si="3"/>
        <v>3.0476190476190474</v>
      </c>
      <c r="AN212" s="5">
        <v>5.25</v>
      </c>
      <c r="AO212" s="4">
        <v>0.11534500000000003</v>
      </c>
      <c r="AQ212">
        <v>0.5</v>
      </c>
    </row>
    <row r="213" spans="1:43" x14ac:dyDescent="0.25">
      <c r="A213">
        <v>212</v>
      </c>
      <c r="B213" t="s">
        <v>82</v>
      </c>
      <c r="C213" t="s">
        <v>44</v>
      </c>
      <c r="D213" t="s">
        <v>82</v>
      </c>
      <c r="E213" t="s">
        <v>298</v>
      </c>
      <c r="F213" t="s">
        <v>45</v>
      </c>
      <c r="G213" t="s">
        <v>45</v>
      </c>
      <c r="H213">
        <v>1</v>
      </c>
      <c r="I213">
        <v>1</v>
      </c>
      <c r="J213">
        <v>2.3600000000000001E-3</v>
      </c>
      <c r="K213" s="6">
        <v>0</v>
      </c>
      <c r="L213" s="6">
        <v>2</v>
      </c>
      <c r="M213" s="6">
        <v>0</v>
      </c>
      <c r="N213" s="6">
        <v>0</v>
      </c>
      <c r="O213" s="6">
        <v>2</v>
      </c>
      <c r="P213" s="6">
        <v>11</v>
      </c>
      <c r="Q213" s="6">
        <v>1</v>
      </c>
      <c r="R213" s="6">
        <v>0</v>
      </c>
      <c r="S213" s="6">
        <v>4</v>
      </c>
      <c r="T213" s="6">
        <v>15</v>
      </c>
      <c r="U213" s="6">
        <v>0</v>
      </c>
      <c r="V213" s="6">
        <v>0</v>
      </c>
      <c r="W213">
        <v>0</v>
      </c>
      <c r="X213">
        <v>90</v>
      </c>
      <c r="Y213">
        <v>10</v>
      </c>
      <c r="Z213">
        <v>10</v>
      </c>
      <c r="AA213">
        <v>0</v>
      </c>
      <c r="AB213">
        <v>2400</v>
      </c>
      <c r="AC213">
        <v>580.78</v>
      </c>
      <c r="AD213">
        <v>0</v>
      </c>
      <c r="AE213">
        <v>35</v>
      </c>
      <c r="AF213">
        <v>35</v>
      </c>
      <c r="AG213">
        <v>0.7580083333333334</v>
      </c>
      <c r="AH213">
        <v>84000</v>
      </c>
      <c r="AI213">
        <v>20327.3</v>
      </c>
      <c r="AJ213">
        <v>63672.7</v>
      </c>
      <c r="AK213">
        <v>5807.7999999999993</v>
      </c>
      <c r="AL213" s="4">
        <v>3.5000000000000004</v>
      </c>
      <c r="AM213">
        <f t="shared" si="3"/>
        <v>3.4285714285714279</v>
      </c>
      <c r="AN213" s="5">
        <v>2.9166666666666665</v>
      </c>
      <c r="AO213" s="4">
        <v>0.11534500000000003</v>
      </c>
      <c r="AQ213">
        <v>0.5</v>
      </c>
    </row>
    <row r="214" spans="1:43" x14ac:dyDescent="0.25">
      <c r="A214">
        <v>213</v>
      </c>
      <c r="B214" t="s">
        <v>86</v>
      </c>
      <c r="C214" t="s">
        <v>44</v>
      </c>
      <c r="D214" t="s">
        <v>86</v>
      </c>
      <c r="E214" t="s">
        <v>299</v>
      </c>
      <c r="F214" t="s">
        <v>45</v>
      </c>
      <c r="G214" t="s">
        <v>45</v>
      </c>
      <c r="H214">
        <v>1</v>
      </c>
      <c r="I214">
        <v>1</v>
      </c>
      <c r="J214">
        <v>3.2199999999999998E-3</v>
      </c>
      <c r="K214" s="6">
        <v>0</v>
      </c>
      <c r="L214" s="6">
        <v>0</v>
      </c>
      <c r="M214" s="6">
        <v>3</v>
      </c>
      <c r="N214" s="6">
        <v>0</v>
      </c>
      <c r="O214" s="6">
        <v>13</v>
      </c>
      <c r="P214" s="6">
        <v>2</v>
      </c>
      <c r="Q214" s="6">
        <v>3</v>
      </c>
      <c r="R214" s="6">
        <v>0</v>
      </c>
      <c r="S214" s="6">
        <v>4</v>
      </c>
      <c r="T214" s="6">
        <v>9</v>
      </c>
      <c r="U214" s="6">
        <v>0</v>
      </c>
      <c r="V214" s="6">
        <v>0</v>
      </c>
      <c r="W214">
        <v>2</v>
      </c>
      <c r="X214">
        <v>90</v>
      </c>
      <c r="Y214">
        <v>46</v>
      </c>
      <c r="Z214">
        <v>46</v>
      </c>
      <c r="AA214">
        <v>0</v>
      </c>
      <c r="AB214">
        <v>2359.5517647058823</v>
      </c>
      <c r="AC214">
        <v>729.95</v>
      </c>
      <c r="AD214">
        <v>0</v>
      </c>
      <c r="AE214">
        <v>34</v>
      </c>
      <c r="AF214">
        <v>34</v>
      </c>
      <c r="AG214">
        <v>0.69069999999999998</v>
      </c>
      <c r="AH214">
        <v>80224.759999999995</v>
      </c>
      <c r="AI214">
        <v>24818.300000000003</v>
      </c>
      <c r="AJ214">
        <v>55406.459999999992</v>
      </c>
      <c r="AK214">
        <v>33577.700000000004</v>
      </c>
      <c r="AL214" s="4">
        <v>0.73913043478260865</v>
      </c>
      <c r="AM214">
        <f t="shared" si="3"/>
        <v>16.235294117647062</v>
      </c>
      <c r="AN214" s="5">
        <v>2.8333333333333335</v>
      </c>
      <c r="AO214" s="4">
        <v>6.7199999999999996E-2</v>
      </c>
      <c r="AQ214">
        <v>0.5</v>
      </c>
    </row>
    <row r="215" spans="1:43" x14ac:dyDescent="0.25">
      <c r="A215">
        <v>214</v>
      </c>
      <c r="B215" t="s">
        <v>82</v>
      </c>
      <c r="C215" t="s">
        <v>44</v>
      </c>
      <c r="D215" t="s">
        <v>82</v>
      </c>
      <c r="E215" t="s">
        <v>300</v>
      </c>
      <c r="F215" t="s">
        <v>45</v>
      </c>
      <c r="G215" t="s">
        <v>45</v>
      </c>
      <c r="H215">
        <v>1</v>
      </c>
      <c r="I215">
        <v>1</v>
      </c>
      <c r="J215">
        <v>3.3040000000000001E-3</v>
      </c>
      <c r="K215" s="6">
        <v>3</v>
      </c>
      <c r="L215" s="6">
        <v>0</v>
      </c>
      <c r="M215" s="6">
        <v>4</v>
      </c>
      <c r="N215" s="6">
        <v>1</v>
      </c>
      <c r="O215" s="6">
        <v>0</v>
      </c>
      <c r="P215" s="6">
        <v>15</v>
      </c>
      <c r="Q215" s="6">
        <v>6</v>
      </c>
      <c r="R215" s="6">
        <v>3</v>
      </c>
      <c r="S215" s="6">
        <v>9</v>
      </c>
      <c r="T215" s="6">
        <v>13</v>
      </c>
      <c r="U215" s="6">
        <v>0</v>
      </c>
      <c r="V215" s="6">
        <v>0</v>
      </c>
      <c r="W215">
        <v>0</v>
      </c>
      <c r="X215">
        <v>90</v>
      </c>
      <c r="Y215">
        <v>14</v>
      </c>
      <c r="Z215">
        <v>14</v>
      </c>
      <c r="AA215">
        <v>0</v>
      </c>
      <c r="AB215">
        <v>1460</v>
      </c>
      <c r="AC215">
        <v>1043.3900000000001</v>
      </c>
      <c r="AD215">
        <v>0</v>
      </c>
      <c r="AE215">
        <v>54</v>
      </c>
      <c r="AF215">
        <v>54</v>
      </c>
      <c r="AG215">
        <v>0.28534931506849309</v>
      </c>
      <c r="AH215">
        <v>78840</v>
      </c>
      <c r="AI215">
        <v>56343.060000000005</v>
      </c>
      <c r="AJ215">
        <v>22496.939999999995</v>
      </c>
      <c r="AK215">
        <v>14607.460000000001</v>
      </c>
      <c r="AL215" s="4">
        <v>3.8571428571428572</v>
      </c>
      <c r="AM215">
        <f t="shared" si="3"/>
        <v>3.1111111111111112</v>
      </c>
      <c r="AN215" s="5">
        <v>4.5</v>
      </c>
      <c r="AO215" s="4">
        <v>0.11534500000000003</v>
      </c>
      <c r="AQ215">
        <v>0.5</v>
      </c>
    </row>
    <row r="216" spans="1:43" x14ac:dyDescent="0.25">
      <c r="A216">
        <v>215</v>
      </c>
      <c r="B216" t="s">
        <v>82</v>
      </c>
      <c r="C216" t="s">
        <v>44</v>
      </c>
      <c r="D216" t="s">
        <v>82</v>
      </c>
      <c r="E216" t="s">
        <v>301</v>
      </c>
      <c r="F216" t="s">
        <v>45</v>
      </c>
      <c r="G216" t="s">
        <v>45</v>
      </c>
      <c r="H216">
        <v>1</v>
      </c>
      <c r="I216">
        <v>1</v>
      </c>
      <c r="J216">
        <v>1.8880000000000001E-3</v>
      </c>
      <c r="K216" s="6">
        <v>0</v>
      </c>
      <c r="L216" s="6">
        <v>12</v>
      </c>
      <c r="M216" s="6">
        <v>-6</v>
      </c>
      <c r="N216" s="6">
        <v>0</v>
      </c>
      <c r="O216" s="6">
        <v>5</v>
      </c>
      <c r="P216" s="6">
        <v>0</v>
      </c>
      <c r="Q216" s="6">
        <v>6</v>
      </c>
      <c r="R216" s="6">
        <v>13</v>
      </c>
      <c r="S216" s="6">
        <v>0</v>
      </c>
      <c r="T216" s="6">
        <v>0</v>
      </c>
      <c r="U216" s="6">
        <v>0</v>
      </c>
      <c r="V216" s="6">
        <v>0</v>
      </c>
      <c r="W216">
        <v>0</v>
      </c>
      <c r="X216">
        <v>90</v>
      </c>
      <c r="Y216">
        <v>8</v>
      </c>
      <c r="Z216">
        <v>8</v>
      </c>
      <c r="AA216">
        <v>0</v>
      </c>
      <c r="AB216">
        <v>2400</v>
      </c>
      <c r="AC216">
        <v>1339.76</v>
      </c>
      <c r="AD216">
        <v>0</v>
      </c>
      <c r="AE216">
        <v>30</v>
      </c>
      <c r="AF216">
        <v>30</v>
      </c>
      <c r="AG216">
        <v>0.4417666666666667</v>
      </c>
      <c r="AH216">
        <v>72000</v>
      </c>
      <c r="AI216">
        <v>40192.800000000003</v>
      </c>
      <c r="AJ216">
        <v>31807.199999999997</v>
      </c>
      <c r="AK216">
        <v>10718.08</v>
      </c>
      <c r="AL216" s="4">
        <v>3.7500000000000004</v>
      </c>
      <c r="AM216">
        <f t="shared" si="3"/>
        <v>3.1999999999999997</v>
      </c>
      <c r="AN216" s="5">
        <v>2.5</v>
      </c>
      <c r="AO216" s="4">
        <v>0.11534500000000003</v>
      </c>
      <c r="AQ216">
        <v>0.5</v>
      </c>
    </row>
    <row r="217" spans="1:43" x14ac:dyDescent="0.25">
      <c r="A217">
        <v>216</v>
      </c>
      <c r="B217" t="s">
        <v>82</v>
      </c>
      <c r="C217" t="s">
        <v>44</v>
      </c>
      <c r="D217" t="s">
        <v>82</v>
      </c>
      <c r="E217" t="s">
        <v>302</v>
      </c>
      <c r="F217" t="s">
        <v>45</v>
      </c>
      <c r="G217" t="s">
        <v>45</v>
      </c>
      <c r="H217">
        <v>1</v>
      </c>
      <c r="I217">
        <v>1</v>
      </c>
      <c r="J217">
        <v>2.124E-3</v>
      </c>
      <c r="K217" s="6">
        <v>13</v>
      </c>
      <c r="L217" s="6">
        <v>0</v>
      </c>
      <c r="M217" s="6">
        <v>4</v>
      </c>
      <c r="N217" s="6">
        <v>0</v>
      </c>
      <c r="O217" s="6">
        <v>0</v>
      </c>
      <c r="P217" s="6">
        <v>2</v>
      </c>
      <c r="Q217" s="6">
        <v>0</v>
      </c>
      <c r="R217" s="6">
        <v>6</v>
      </c>
      <c r="S217" s="6">
        <v>2</v>
      </c>
      <c r="T217" s="6">
        <v>0</v>
      </c>
      <c r="U217" s="6">
        <v>0</v>
      </c>
      <c r="V217" s="6">
        <v>3</v>
      </c>
      <c r="W217">
        <v>1</v>
      </c>
      <c r="X217">
        <v>90</v>
      </c>
      <c r="Y217">
        <v>9</v>
      </c>
      <c r="Z217">
        <v>9</v>
      </c>
      <c r="AA217">
        <v>0</v>
      </c>
      <c r="AB217">
        <v>2400</v>
      </c>
      <c r="AC217">
        <v>508.03</v>
      </c>
      <c r="AD217">
        <v>0</v>
      </c>
      <c r="AE217">
        <v>30</v>
      </c>
      <c r="AF217">
        <v>30</v>
      </c>
      <c r="AG217">
        <v>0.78832083333333336</v>
      </c>
      <c r="AH217">
        <v>72000</v>
      </c>
      <c r="AI217">
        <v>15240.9</v>
      </c>
      <c r="AJ217">
        <v>56759.1</v>
      </c>
      <c r="AK217">
        <v>4572.2699999999995</v>
      </c>
      <c r="AL217" s="4">
        <v>3.3333333333333335</v>
      </c>
      <c r="AM217">
        <f t="shared" si="3"/>
        <v>3.5999999999999996</v>
      </c>
      <c r="AN217" s="5">
        <v>2.5</v>
      </c>
      <c r="AO217" s="4">
        <v>0.11534500000000003</v>
      </c>
      <c r="AQ217">
        <v>0.5</v>
      </c>
    </row>
    <row r="218" spans="1:43" x14ac:dyDescent="0.25">
      <c r="A218">
        <v>217</v>
      </c>
      <c r="B218" t="s">
        <v>85</v>
      </c>
      <c r="C218" t="s">
        <v>44</v>
      </c>
      <c r="D218" t="s">
        <v>85</v>
      </c>
      <c r="E218" t="s">
        <v>303</v>
      </c>
      <c r="F218" t="s">
        <v>45</v>
      </c>
      <c r="G218" t="s">
        <v>45</v>
      </c>
      <c r="H218">
        <v>1</v>
      </c>
      <c r="I218">
        <v>1</v>
      </c>
      <c r="J218">
        <v>4.7999999999999996E-3</v>
      </c>
      <c r="K218" s="6">
        <v>0</v>
      </c>
      <c r="L218" s="6">
        <v>0</v>
      </c>
      <c r="M218" s="6">
        <v>0</v>
      </c>
      <c r="N218" s="6">
        <v>13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-2</v>
      </c>
      <c r="U218" s="6">
        <v>5</v>
      </c>
      <c r="V218" s="6">
        <v>2</v>
      </c>
      <c r="W218">
        <v>0</v>
      </c>
      <c r="X218">
        <v>90</v>
      </c>
      <c r="Y218">
        <v>8</v>
      </c>
      <c r="Z218">
        <v>8</v>
      </c>
      <c r="AA218">
        <v>0</v>
      </c>
      <c r="AB218">
        <v>3800</v>
      </c>
      <c r="AC218">
        <v>1853.53</v>
      </c>
      <c r="AD218">
        <v>0</v>
      </c>
      <c r="AE218">
        <v>18</v>
      </c>
      <c r="AF218">
        <v>18</v>
      </c>
      <c r="AG218">
        <v>0.51222894736842106</v>
      </c>
      <c r="AH218">
        <v>68400</v>
      </c>
      <c r="AI218">
        <v>33363.54</v>
      </c>
      <c r="AJ218">
        <v>35036.46</v>
      </c>
      <c r="AK218">
        <v>14828.24</v>
      </c>
      <c r="AL218" s="4">
        <v>2.25</v>
      </c>
      <c r="AM218">
        <f t="shared" si="3"/>
        <v>5.333333333333333</v>
      </c>
      <c r="AN218" s="5">
        <v>1.5</v>
      </c>
      <c r="AO218" s="4">
        <v>2.8799999999999999E-2</v>
      </c>
      <c r="AQ218">
        <v>0.5</v>
      </c>
    </row>
    <row r="219" spans="1:43" x14ac:dyDescent="0.25">
      <c r="A219">
        <v>218</v>
      </c>
      <c r="B219" t="s">
        <v>86</v>
      </c>
      <c r="C219" t="s">
        <v>44</v>
      </c>
      <c r="D219" t="s">
        <v>86</v>
      </c>
      <c r="E219" t="s">
        <v>304</v>
      </c>
      <c r="F219" t="s">
        <v>45</v>
      </c>
      <c r="G219" t="s">
        <v>45</v>
      </c>
      <c r="H219">
        <v>1</v>
      </c>
      <c r="I219">
        <v>1</v>
      </c>
      <c r="J219">
        <v>6.6906000000000007E-2</v>
      </c>
      <c r="K219" s="6">
        <v>17</v>
      </c>
      <c r="L219" s="6">
        <v>5</v>
      </c>
      <c r="M219" s="6">
        <v>2</v>
      </c>
      <c r="N219" s="6">
        <v>0</v>
      </c>
      <c r="O219" s="6">
        <v>1</v>
      </c>
      <c r="P219" s="6">
        <v>3</v>
      </c>
      <c r="Q219" s="6">
        <v>7</v>
      </c>
      <c r="R219" s="6">
        <v>0</v>
      </c>
      <c r="S219" s="6">
        <v>0</v>
      </c>
      <c r="T219" s="6">
        <v>5</v>
      </c>
      <c r="U219" s="6">
        <v>0</v>
      </c>
      <c r="V219" s="6">
        <v>0</v>
      </c>
      <c r="W219">
        <v>0</v>
      </c>
      <c r="X219">
        <v>90</v>
      </c>
      <c r="Y219">
        <v>189</v>
      </c>
      <c r="Z219">
        <v>189</v>
      </c>
      <c r="AA219">
        <v>0</v>
      </c>
      <c r="AB219">
        <v>1700</v>
      </c>
      <c r="AC219">
        <v>850</v>
      </c>
      <c r="AD219">
        <v>0</v>
      </c>
      <c r="AE219">
        <v>40</v>
      </c>
      <c r="AF219">
        <v>40</v>
      </c>
      <c r="AG219">
        <v>0.5</v>
      </c>
      <c r="AH219">
        <v>68000</v>
      </c>
      <c r="AI219">
        <v>34000</v>
      </c>
      <c r="AJ219">
        <v>34000</v>
      </c>
      <c r="AK219">
        <v>160650</v>
      </c>
      <c r="AL219" s="4">
        <v>0.21164021164021163</v>
      </c>
      <c r="AM219">
        <f t="shared" si="3"/>
        <v>56.7</v>
      </c>
      <c r="AN219" s="5">
        <v>3.3333333333333335</v>
      </c>
      <c r="AO219" s="4">
        <v>0.28320000000000001</v>
      </c>
      <c r="AQ219">
        <v>0.5</v>
      </c>
    </row>
    <row r="220" spans="1:43" x14ac:dyDescent="0.25">
      <c r="A220">
        <v>219</v>
      </c>
      <c r="B220" t="s">
        <v>86</v>
      </c>
      <c r="C220" t="s">
        <v>44</v>
      </c>
      <c r="D220" t="s">
        <v>86</v>
      </c>
      <c r="E220" t="s">
        <v>305</v>
      </c>
      <c r="F220" t="s">
        <v>45</v>
      </c>
      <c r="G220" t="s">
        <v>45</v>
      </c>
      <c r="H220">
        <v>1</v>
      </c>
      <c r="I220">
        <v>1</v>
      </c>
      <c r="J220">
        <v>0</v>
      </c>
      <c r="K220" s="6">
        <v>10</v>
      </c>
      <c r="L220" s="6">
        <v>11</v>
      </c>
      <c r="M220" s="6">
        <v>4</v>
      </c>
      <c r="N220" s="6">
        <v>0</v>
      </c>
      <c r="O220" s="6">
        <v>6</v>
      </c>
      <c r="P220" s="6">
        <v>0</v>
      </c>
      <c r="Q220" s="6">
        <v>0</v>
      </c>
      <c r="R220" s="6">
        <v>4</v>
      </c>
      <c r="S220" s="6">
        <v>5</v>
      </c>
      <c r="T220" s="6">
        <v>0</v>
      </c>
      <c r="U220" s="6">
        <v>0</v>
      </c>
      <c r="V220" s="6">
        <v>0</v>
      </c>
      <c r="W220">
        <v>1</v>
      </c>
      <c r="X220">
        <v>90</v>
      </c>
      <c r="Y220">
        <v>0</v>
      </c>
      <c r="Z220">
        <v>0</v>
      </c>
      <c r="AA220">
        <v>0</v>
      </c>
      <c r="AB220">
        <v>1700</v>
      </c>
      <c r="AC220">
        <v>345.1</v>
      </c>
      <c r="AD220">
        <v>0</v>
      </c>
      <c r="AE220">
        <v>40</v>
      </c>
      <c r="AF220">
        <v>40</v>
      </c>
      <c r="AG220">
        <v>0.79700000000000004</v>
      </c>
      <c r="AH220">
        <v>68000</v>
      </c>
      <c r="AI220">
        <v>13804</v>
      </c>
      <c r="AJ220">
        <v>54196</v>
      </c>
      <c r="AK220">
        <v>0</v>
      </c>
      <c r="AL220" s="4">
        <v>0</v>
      </c>
      <c r="AM220">
        <v>0</v>
      </c>
      <c r="AN220" s="5">
        <v>3.3333333333333335</v>
      </c>
      <c r="AO220" s="4">
        <v>0</v>
      </c>
      <c r="AQ220">
        <v>0.5</v>
      </c>
    </row>
    <row r="221" spans="1:43" x14ac:dyDescent="0.25">
      <c r="A221">
        <v>220</v>
      </c>
      <c r="B221" t="s">
        <v>82</v>
      </c>
      <c r="C221" t="s">
        <v>44</v>
      </c>
      <c r="D221" t="s">
        <v>82</v>
      </c>
      <c r="E221" t="s">
        <v>306</v>
      </c>
      <c r="F221" t="s">
        <v>45</v>
      </c>
      <c r="G221" t="s">
        <v>45</v>
      </c>
      <c r="H221">
        <v>1</v>
      </c>
      <c r="I221">
        <v>1</v>
      </c>
      <c r="J221">
        <v>2.5960000000000002E-3</v>
      </c>
      <c r="K221" s="6">
        <v>3</v>
      </c>
      <c r="L221" s="6">
        <v>0</v>
      </c>
      <c r="M221" s="6">
        <v>0</v>
      </c>
      <c r="N221" s="6">
        <v>0</v>
      </c>
      <c r="O221" s="6">
        <v>0</v>
      </c>
      <c r="P221" s="6">
        <v>15</v>
      </c>
      <c r="Q221" s="6">
        <v>2</v>
      </c>
      <c r="R221" s="6">
        <v>2</v>
      </c>
      <c r="S221" s="6">
        <v>9</v>
      </c>
      <c r="T221" s="6">
        <v>12</v>
      </c>
      <c r="U221" s="6">
        <v>0</v>
      </c>
      <c r="V221" s="6">
        <v>0</v>
      </c>
      <c r="W221">
        <v>0</v>
      </c>
      <c r="X221">
        <v>90</v>
      </c>
      <c r="Y221">
        <v>11</v>
      </c>
      <c r="Z221">
        <v>11</v>
      </c>
      <c r="AA221">
        <v>0</v>
      </c>
      <c r="AB221">
        <v>1460</v>
      </c>
      <c r="AC221">
        <v>1043.3900000000001</v>
      </c>
      <c r="AD221">
        <v>0</v>
      </c>
      <c r="AE221">
        <v>43</v>
      </c>
      <c r="AF221">
        <v>43</v>
      </c>
      <c r="AG221">
        <v>0.28534931506849309</v>
      </c>
      <c r="AH221">
        <v>62780</v>
      </c>
      <c r="AI221">
        <v>44865.770000000004</v>
      </c>
      <c r="AJ221">
        <v>17914.229999999996</v>
      </c>
      <c r="AK221">
        <v>11477.29</v>
      </c>
      <c r="AL221" s="4">
        <v>3.9090909090909092</v>
      </c>
      <c r="AM221">
        <f t="shared" si="3"/>
        <v>3.0697674418604652</v>
      </c>
      <c r="AN221" s="5">
        <v>3.5833333333333335</v>
      </c>
      <c r="AO221" s="4">
        <v>0.11534500000000003</v>
      </c>
      <c r="AQ221">
        <v>0.5</v>
      </c>
    </row>
    <row r="222" spans="1:43" x14ac:dyDescent="0.25">
      <c r="A222">
        <v>221</v>
      </c>
      <c r="B222" t="s">
        <v>82</v>
      </c>
      <c r="C222" t="s">
        <v>44</v>
      </c>
      <c r="D222" t="s">
        <v>82</v>
      </c>
      <c r="E222" t="s">
        <v>307</v>
      </c>
      <c r="F222" t="s">
        <v>45</v>
      </c>
      <c r="G222" t="s">
        <v>45</v>
      </c>
      <c r="H222">
        <v>1</v>
      </c>
      <c r="I222">
        <v>1</v>
      </c>
      <c r="J222">
        <v>2.8320000000000003E-3</v>
      </c>
      <c r="K222" s="6">
        <v>-1</v>
      </c>
      <c r="L222" s="6">
        <v>2</v>
      </c>
      <c r="M222" s="6">
        <v>5</v>
      </c>
      <c r="N222" s="6">
        <v>5</v>
      </c>
      <c r="O222" s="6">
        <v>5</v>
      </c>
      <c r="P222" s="6">
        <v>0</v>
      </c>
      <c r="Q222" s="6">
        <v>4</v>
      </c>
      <c r="R222" s="6">
        <v>1</v>
      </c>
      <c r="S222" s="6">
        <v>3</v>
      </c>
      <c r="T222" s="6">
        <v>10</v>
      </c>
      <c r="U222" s="6">
        <v>6</v>
      </c>
      <c r="V222" s="6">
        <v>0</v>
      </c>
      <c r="W222">
        <v>1</v>
      </c>
      <c r="X222">
        <v>90</v>
      </c>
      <c r="Y222">
        <v>12</v>
      </c>
      <c r="Z222">
        <v>12</v>
      </c>
      <c r="AA222">
        <v>0</v>
      </c>
      <c r="AB222">
        <v>1460</v>
      </c>
      <c r="AC222">
        <v>759.63</v>
      </c>
      <c r="AD222">
        <v>0</v>
      </c>
      <c r="AE222">
        <v>40</v>
      </c>
      <c r="AF222">
        <v>40</v>
      </c>
      <c r="AG222">
        <v>0.47970547945205477</v>
      </c>
      <c r="AH222">
        <v>58400</v>
      </c>
      <c r="AI222">
        <v>30385.200000000001</v>
      </c>
      <c r="AJ222">
        <v>28014.799999999999</v>
      </c>
      <c r="AK222">
        <v>9115.56</v>
      </c>
      <c r="AL222" s="4">
        <v>3.3333333333333335</v>
      </c>
      <c r="AM222">
        <f t="shared" si="3"/>
        <v>3.5999999999999996</v>
      </c>
      <c r="AN222" s="5">
        <v>3.3333333333333335</v>
      </c>
      <c r="AO222" s="4">
        <v>0.11534500000000003</v>
      </c>
      <c r="AQ222">
        <v>0.5</v>
      </c>
    </row>
    <row r="223" spans="1:43" x14ac:dyDescent="0.25">
      <c r="A223">
        <v>222</v>
      </c>
      <c r="B223" t="s">
        <v>86</v>
      </c>
      <c r="C223" t="s">
        <v>44</v>
      </c>
      <c r="D223" t="s">
        <v>86</v>
      </c>
      <c r="E223" t="s">
        <v>308</v>
      </c>
      <c r="F223" t="s">
        <v>45</v>
      </c>
      <c r="G223" t="s">
        <v>45</v>
      </c>
      <c r="H223">
        <v>1</v>
      </c>
      <c r="I223">
        <v>1</v>
      </c>
      <c r="J223">
        <v>3.8940000000000003E-3</v>
      </c>
      <c r="K223" s="6">
        <v>0</v>
      </c>
      <c r="L223" s="6">
        <v>0</v>
      </c>
      <c r="M223" s="6">
        <v>2</v>
      </c>
      <c r="N223" s="6">
        <v>0</v>
      </c>
      <c r="O223" s="6">
        <v>4</v>
      </c>
      <c r="P223" s="6">
        <v>4</v>
      </c>
      <c r="Q223" s="6">
        <v>12</v>
      </c>
      <c r="R223" s="6">
        <v>5</v>
      </c>
      <c r="S223" s="6">
        <v>0</v>
      </c>
      <c r="T223" s="6">
        <v>1</v>
      </c>
      <c r="U223" s="6">
        <v>6</v>
      </c>
      <c r="V223" s="6">
        <v>0</v>
      </c>
      <c r="W223">
        <v>1</v>
      </c>
      <c r="X223">
        <v>90</v>
      </c>
      <c r="Y223">
        <v>11</v>
      </c>
      <c r="Z223">
        <v>11</v>
      </c>
      <c r="AA223">
        <v>0</v>
      </c>
      <c r="AB223">
        <v>1700</v>
      </c>
      <c r="AC223">
        <v>439.36</v>
      </c>
      <c r="AD223">
        <v>0</v>
      </c>
      <c r="AE223">
        <v>34</v>
      </c>
      <c r="AF223">
        <v>34</v>
      </c>
      <c r="AG223">
        <v>0.74155294117647053</v>
      </c>
      <c r="AH223">
        <v>57800</v>
      </c>
      <c r="AI223">
        <v>14938.24</v>
      </c>
      <c r="AJ223">
        <v>42861.760000000002</v>
      </c>
      <c r="AK223">
        <v>4832.96</v>
      </c>
      <c r="AL223" s="4">
        <v>3.0909090909090908</v>
      </c>
      <c r="AM223">
        <f t="shared" si="3"/>
        <v>3.8823529411764706</v>
      </c>
      <c r="AN223" s="5">
        <v>2.8333333333333335</v>
      </c>
      <c r="AO223" s="4">
        <v>5.6640000000000003E-2</v>
      </c>
      <c r="AQ223">
        <v>0.5</v>
      </c>
    </row>
    <row r="224" spans="1:43" x14ac:dyDescent="0.25">
      <c r="A224">
        <v>223</v>
      </c>
      <c r="B224" t="s">
        <v>82</v>
      </c>
      <c r="C224" t="s">
        <v>44</v>
      </c>
      <c r="D224" t="s">
        <v>82</v>
      </c>
      <c r="E224" t="s">
        <v>309</v>
      </c>
      <c r="F224" t="s">
        <v>45</v>
      </c>
      <c r="G224" t="s">
        <v>45</v>
      </c>
      <c r="H224">
        <v>1</v>
      </c>
      <c r="I224">
        <v>1</v>
      </c>
      <c r="J224">
        <v>7.4576000000000003E-2</v>
      </c>
      <c r="K224" s="6">
        <v>0</v>
      </c>
      <c r="L224" s="6">
        <v>0</v>
      </c>
      <c r="M224" s="6">
        <v>0</v>
      </c>
      <c r="N224" s="6">
        <v>0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15</v>
      </c>
      <c r="V224" s="6">
        <v>0</v>
      </c>
      <c r="W224">
        <v>0</v>
      </c>
      <c r="X224">
        <v>90</v>
      </c>
      <c r="Y224">
        <v>79</v>
      </c>
      <c r="Z224">
        <v>79</v>
      </c>
      <c r="AA224">
        <v>0</v>
      </c>
      <c r="AB224">
        <v>3750</v>
      </c>
      <c r="AC224">
        <v>2831.38</v>
      </c>
      <c r="AD224">
        <v>0</v>
      </c>
      <c r="AE224">
        <v>15</v>
      </c>
      <c r="AF224">
        <v>15</v>
      </c>
      <c r="AG224">
        <v>0.24496533333333331</v>
      </c>
      <c r="AH224">
        <v>56250</v>
      </c>
      <c r="AI224">
        <v>42470.700000000004</v>
      </c>
      <c r="AJ224">
        <v>13779.299999999996</v>
      </c>
      <c r="AK224">
        <v>223679.02000000002</v>
      </c>
      <c r="AL224" s="4">
        <v>0.189873417721519</v>
      </c>
      <c r="AM224">
        <f t="shared" si="3"/>
        <v>63.199999999999996</v>
      </c>
      <c r="AN224" s="5">
        <v>1.25</v>
      </c>
      <c r="AO224" s="4">
        <v>0.46138000000000012</v>
      </c>
      <c r="AQ224">
        <v>0.5</v>
      </c>
    </row>
    <row r="225" spans="1:43" x14ac:dyDescent="0.25">
      <c r="A225">
        <v>224</v>
      </c>
      <c r="B225" t="s">
        <v>82</v>
      </c>
      <c r="C225" t="s">
        <v>44</v>
      </c>
      <c r="D225" t="s">
        <v>82</v>
      </c>
      <c r="E225" t="s">
        <v>310</v>
      </c>
      <c r="F225" t="s">
        <v>45</v>
      </c>
      <c r="G225" t="s">
        <v>45</v>
      </c>
      <c r="H225">
        <v>1</v>
      </c>
      <c r="I225">
        <v>1</v>
      </c>
      <c r="J225">
        <v>1.652E-3</v>
      </c>
      <c r="K225" s="6">
        <v>0</v>
      </c>
      <c r="L225" s="6">
        <v>0</v>
      </c>
      <c r="M225" s="6">
        <v>0</v>
      </c>
      <c r="N225" s="6">
        <v>0</v>
      </c>
      <c r="O225" s="6">
        <v>2</v>
      </c>
      <c r="P225" s="6">
        <v>2</v>
      </c>
      <c r="Q225" s="6">
        <v>0</v>
      </c>
      <c r="R225" s="6">
        <v>2</v>
      </c>
      <c r="S225" s="6">
        <v>0</v>
      </c>
      <c r="T225" s="6">
        <v>16</v>
      </c>
      <c r="U225" s="6">
        <v>0</v>
      </c>
      <c r="V225" s="6">
        <v>0</v>
      </c>
      <c r="W225">
        <v>0</v>
      </c>
      <c r="X225">
        <v>90</v>
      </c>
      <c r="Y225">
        <v>7</v>
      </c>
      <c r="Z225">
        <v>7</v>
      </c>
      <c r="AA225">
        <v>0</v>
      </c>
      <c r="AB225">
        <v>2400</v>
      </c>
      <c r="AC225">
        <v>580.78</v>
      </c>
      <c r="AD225">
        <v>0</v>
      </c>
      <c r="AE225">
        <v>22</v>
      </c>
      <c r="AF225">
        <v>22</v>
      </c>
      <c r="AG225">
        <v>0.7580083333333334</v>
      </c>
      <c r="AH225">
        <v>52800</v>
      </c>
      <c r="AI225">
        <v>12777.16</v>
      </c>
      <c r="AJ225">
        <v>40022.839999999997</v>
      </c>
      <c r="AK225">
        <v>4065.46</v>
      </c>
      <c r="AL225" s="4">
        <v>3.1428571428571428</v>
      </c>
      <c r="AM225">
        <f t="shared" si="3"/>
        <v>3.8181818181818183</v>
      </c>
      <c r="AN225" s="5">
        <v>1.8333333333333333</v>
      </c>
      <c r="AO225" s="4">
        <v>0.11534500000000003</v>
      </c>
      <c r="AQ225">
        <v>0.5</v>
      </c>
    </row>
    <row r="226" spans="1:43" x14ac:dyDescent="0.25">
      <c r="A226">
        <v>225</v>
      </c>
      <c r="B226" t="s">
        <v>86</v>
      </c>
      <c r="C226" t="s">
        <v>44</v>
      </c>
      <c r="D226" t="s">
        <v>86</v>
      </c>
      <c r="E226" t="s">
        <v>311</v>
      </c>
      <c r="F226" t="s">
        <v>45</v>
      </c>
      <c r="G226" t="s">
        <v>45</v>
      </c>
      <c r="H226">
        <v>1</v>
      </c>
      <c r="I226">
        <v>1</v>
      </c>
      <c r="J226">
        <v>5.4599999999999996E-3</v>
      </c>
      <c r="K226" s="6">
        <v>0</v>
      </c>
      <c r="L226" s="6">
        <v>0</v>
      </c>
      <c r="M226" s="6">
        <v>3</v>
      </c>
      <c r="N226" s="6">
        <v>0</v>
      </c>
      <c r="O226" s="6">
        <v>0</v>
      </c>
      <c r="P226" s="6">
        <v>13</v>
      </c>
      <c r="Q226" s="6">
        <v>4</v>
      </c>
      <c r="R226" s="6">
        <v>4</v>
      </c>
      <c r="S226" s="6">
        <v>0</v>
      </c>
      <c r="T226" s="6">
        <v>-3</v>
      </c>
      <c r="U226" s="6">
        <v>0</v>
      </c>
      <c r="V226" s="6">
        <v>0</v>
      </c>
      <c r="W226">
        <v>1</v>
      </c>
      <c r="X226">
        <v>90</v>
      </c>
      <c r="Y226">
        <v>78</v>
      </c>
      <c r="Z226">
        <v>78</v>
      </c>
      <c r="AA226">
        <v>0</v>
      </c>
      <c r="AB226">
        <v>2472.6076190476192</v>
      </c>
      <c r="AC226">
        <v>765.61</v>
      </c>
      <c r="AD226">
        <v>0</v>
      </c>
      <c r="AE226">
        <v>21</v>
      </c>
      <c r="AF226">
        <v>21</v>
      </c>
      <c r="AG226">
        <v>0.6905</v>
      </c>
      <c r="AH226">
        <v>51924.76</v>
      </c>
      <c r="AI226">
        <v>16077.81</v>
      </c>
      <c r="AJ226">
        <v>35846.950000000004</v>
      </c>
      <c r="AK226">
        <v>59717.58</v>
      </c>
      <c r="AL226" s="4">
        <v>0.26923076923076922</v>
      </c>
      <c r="AM226">
        <f t="shared" si="3"/>
        <v>44.571428571428577</v>
      </c>
      <c r="AN226" s="5">
        <v>1.75</v>
      </c>
      <c r="AO226" s="4">
        <v>0.1008</v>
      </c>
      <c r="AQ226">
        <v>0.5</v>
      </c>
    </row>
    <row r="227" spans="1:43" x14ac:dyDescent="0.25">
      <c r="A227">
        <v>226</v>
      </c>
      <c r="B227" t="s">
        <v>85</v>
      </c>
      <c r="C227" t="s">
        <v>44</v>
      </c>
      <c r="D227" t="s">
        <v>85</v>
      </c>
      <c r="E227" t="s">
        <v>312</v>
      </c>
      <c r="F227" t="s">
        <v>45</v>
      </c>
      <c r="G227" t="s">
        <v>45</v>
      </c>
      <c r="H227">
        <v>1</v>
      </c>
      <c r="I227">
        <v>1</v>
      </c>
      <c r="J227">
        <v>4.7999999999999996E-3</v>
      </c>
      <c r="K227" s="6">
        <v>0</v>
      </c>
      <c r="L227" s="6">
        <v>1</v>
      </c>
      <c r="M227" s="6">
        <v>2</v>
      </c>
      <c r="N227" s="6">
        <v>2</v>
      </c>
      <c r="O227" s="6">
        <v>0</v>
      </c>
      <c r="P227" s="6">
        <v>0</v>
      </c>
      <c r="Q227" s="6">
        <v>0</v>
      </c>
      <c r="R227" s="6">
        <v>1</v>
      </c>
      <c r="S227" s="6">
        <v>3</v>
      </c>
      <c r="T227" s="6">
        <v>0</v>
      </c>
      <c r="U227" s="6">
        <v>1</v>
      </c>
      <c r="V227" s="6">
        <v>3</v>
      </c>
      <c r="W227">
        <v>1</v>
      </c>
      <c r="X227">
        <v>90</v>
      </c>
      <c r="Y227">
        <v>8</v>
      </c>
      <c r="Z227">
        <v>8</v>
      </c>
      <c r="AA227">
        <v>0</v>
      </c>
      <c r="AB227">
        <v>3800</v>
      </c>
      <c r="AC227">
        <v>1663.82</v>
      </c>
      <c r="AD227">
        <v>0</v>
      </c>
      <c r="AE227">
        <v>13</v>
      </c>
      <c r="AF227">
        <v>13</v>
      </c>
      <c r="AG227">
        <v>0.56215263157894735</v>
      </c>
      <c r="AH227">
        <v>49400</v>
      </c>
      <c r="AI227">
        <v>21629.66</v>
      </c>
      <c r="AJ227">
        <v>27770.34</v>
      </c>
      <c r="AK227">
        <v>13310.56</v>
      </c>
      <c r="AL227" s="4">
        <v>1.625</v>
      </c>
      <c r="AM227">
        <f t="shared" si="3"/>
        <v>7.384615384615385</v>
      </c>
      <c r="AN227" s="5">
        <v>1.0833333333333333</v>
      </c>
      <c r="AO227" s="4">
        <v>2.8799999999999999E-2</v>
      </c>
      <c r="AQ227">
        <v>0.5</v>
      </c>
    </row>
    <row r="228" spans="1:43" x14ac:dyDescent="0.25">
      <c r="A228">
        <v>227</v>
      </c>
      <c r="B228" t="s">
        <v>86</v>
      </c>
      <c r="C228" t="s">
        <v>44</v>
      </c>
      <c r="D228" t="s">
        <v>86</v>
      </c>
      <c r="E228" t="s">
        <v>313</v>
      </c>
      <c r="F228" t="s">
        <v>45</v>
      </c>
      <c r="G228" t="s">
        <v>45</v>
      </c>
      <c r="H228">
        <v>1</v>
      </c>
      <c r="I228">
        <v>1</v>
      </c>
      <c r="J228">
        <v>1.7500000000000002E-2</v>
      </c>
      <c r="K228" s="6">
        <v>0</v>
      </c>
      <c r="L228" s="6">
        <v>0</v>
      </c>
      <c r="M228" s="6">
        <v>0</v>
      </c>
      <c r="N228" s="6">
        <v>18</v>
      </c>
      <c r="O228" s="6">
        <v>0</v>
      </c>
      <c r="P228" s="6">
        <v>0</v>
      </c>
      <c r="Q228" s="6">
        <v>13</v>
      </c>
      <c r="R228" s="6">
        <v>20</v>
      </c>
      <c r="S228" s="6">
        <v>0</v>
      </c>
      <c r="T228" s="6">
        <v>0</v>
      </c>
      <c r="U228" s="6">
        <v>0</v>
      </c>
      <c r="V228" s="6">
        <v>0</v>
      </c>
      <c r="W228">
        <v>1</v>
      </c>
      <c r="X228">
        <v>90</v>
      </c>
      <c r="Y228">
        <v>14</v>
      </c>
      <c r="Z228">
        <v>14</v>
      </c>
      <c r="AA228">
        <v>0</v>
      </c>
      <c r="AB228">
        <v>968.62745098039215</v>
      </c>
      <c r="AC228">
        <v>618.73</v>
      </c>
      <c r="AD228">
        <v>0</v>
      </c>
      <c r="AE228">
        <v>51</v>
      </c>
      <c r="AF228">
        <v>51</v>
      </c>
      <c r="AG228">
        <v>0.71419999999999995</v>
      </c>
      <c r="AH228">
        <v>49400</v>
      </c>
      <c r="AI228">
        <v>31555.23</v>
      </c>
      <c r="AJ228">
        <v>17844.77</v>
      </c>
      <c r="AK228">
        <v>8662.2200000000012</v>
      </c>
      <c r="AL228" s="4">
        <v>3.6428571428571423</v>
      </c>
      <c r="AM228">
        <f t="shared" si="3"/>
        <v>3.2941176470588238</v>
      </c>
      <c r="AN228" s="5">
        <v>4.25</v>
      </c>
      <c r="AO228" s="4">
        <v>0.16500000000000001</v>
      </c>
      <c r="AQ228">
        <v>0.5</v>
      </c>
    </row>
    <row r="229" spans="1:43" x14ac:dyDescent="0.25">
      <c r="A229">
        <v>228</v>
      </c>
      <c r="B229" t="s">
        <v>86</v>
      </c>
      <c r="C229" t="s">
        <v>44</v>
      </c>
      <c r="D229" t="s">
        <v>86</v>
      </c>
      <c r="E229" t="s">
        <v>314</v>
      </c>
      <c r="F229" t="s">
        <v>45</v>
      </c>
      <c r="G229" t="s">
        <v>45</v>
      </c>
      <c r="H229">
        <v>1</v>
      </c>
      <c r="I229">
        <v>1</v>
      </c>
      <c r="J229">
        <v>8.7500000000000008E-3</v>
      </c>
      <c r="K229" s="6">
        <v>0</v>
      </c>
      <c r="L229" s="6">
        <v>0</v>
      </c>
      <c r="M229" s="6">
        <v>0</v>
      </c>
      <c r="N229" s="6">
        <v>0</v>
      </c>
      <c r="O229" s="6">
        <v>23</v>
      </c>
      <c r="P229" s="6">
        <v>0</v>
      </c>
      <c r="Q229" s="6">
        <v>0</v>
      </c>
      <c r="R229" s="6">
        <v>4</v>
      </c>
      <c r="S229" s="6">
        <v>0</v>
      </c>
      <c r="T229" s="6">
        <v>0</v>
      </c>
      <c r="U229" s="6">
        <v>10</v>
      </c>
      <c r="V229" s="6">
        <v>0</v>
      </c>
      <c r="W229">
        <v>1</v>
      </c>
      <c r="X229">
        <v>90</v>
      </c>
      <c r="Y229">
        <v>7</v>
      </c>
      <c r="Z229">
        <v>7</v>
      </c>
      <c r="AA229">
        <v>0</v>
      </c>
      <c r="AB229">
        <v>1335.1351351351352</v>
      </c>
      <c r="AC229">
        <v>624.16999999999996</v>
      </c>
      <c r="AD229">
        <v>0</v>
      </c>
      <c r="AE229">
        <v>37</v>
      </c>
      <c r="AF229">
        <v>37</v>
      </c>
      <c r="AG229">
        <v>0.71419999999999995</v>
      </c>
      <c r="AH229">
        <v>49400</v>
      </c>
      <c r="AI229">
        <v>23094.289999999997</v>
      </c>
      <c r="AJ229">
        <v>26305.710000000003</v>
      </c>
      <c r="AK229">
        <v>4369.1899999999996</v>
      </c>
      <c r="AL229" s="4">
        <v>5.2857142857142856</v>
      </c>
      <c r="AM229">
        <f t="shared" si="3"/>
        <v>2.2702702702702702</v>
      </c>
      <c r="AN229" s="5">
        <v>3.0833333333333335</v>
      </c>
      <c r="AO229" s="4">
        <v>0.16500000000000001</v>
      </c>
      <c r="AQ229">
        <v>0.5</v>
      </c>
    </row>
    <row r="230" spans="1:43" x14ac:dyDescent="0.25">
      <c r="A230">
        <v>229</v>
      </c>
      <c r="B230" t="s">
        <v>86</v>
      </c>
      <c r="C230" t="s">
        <v>44</v>
      </c>
      <c r="D230" t="s">
        <v>86</v>
      </c>
      <c r="E230" t="s">
        <v>315</v>
      </c>
      <c r="F230" t="s">
        <v>45</v>
      </c>
      <c r="G230" t="s">
        <v>45</v>
      </c>
      <c r="H230">
        <v>1</v>
      </c>
      <c r="I230">
        <v>1</v>
      </c>
      <c r="J230">
        <v>3.7499999999999999E-3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10</v>
      </c>
      <c r="V230" s="6">
        <v>0</v>
      </c>
      <c r="W230">
        <v>1</v>
      </c>
      <c r="X230">
        <v>90</v>
      </c>
      <c r="Y230">
        <v>3</v>
      </c>
      <c r="Z230">
        <v>3</v>
      </c>
      <c r="AA230">
        <v>0</v>
      </c>
      <c r="AB230">
        <v>4940</v>
      </c>
      <c r="AC230">
        <v>624.16999999999996</v>
      </c>
      <c r="AD230">
        <v>0</v>
      </c>
      <c r="AE230">
        <v>10</v>
      </c>
      <c r="AF230">
        <v>10</v>
      </c>
      <c r="AG230">
        <v>0.78820000000000001</v>
      </c>
      <c r="AH230">
        <v>49400</v>
      </c>
      <c r="AI230">
        <v>6241.7</v>
      </c>
      <c r="AJ230">
        <v>43158.3</v>
      </c>
      <c r="AK230">
        <v>1872.5099999999998</v>
      </c>
      <c r="AL230" s="4">
        <v>3.3333333333333335</v>
      </c>
      <c r="AM230">
        <f t="shared" si="3"/>
        <v>3.5999999999999996</v>
      </c>
      <c r="AN230" s="5">
        <v>0.83333333333333337</v>
      </c>
      <c r="AO230" s="4">
        <v>0.16500000000000001</v>
      </c>
      <c r="AQ230">
        <v>0.5</v>
      </c>
    </row>
    <row r="231" spans="1:43" x14ac:dyDescent="0.25">
      <c r="A231">
        <v>230</v>
      </c>
      <c r="B231" t="s">
        <v>82</v>
      </c>
      <c r="C231" t="s">
        <v>44</v>
      </c>
      <c r="D231" t="s">
        <v>82</v>
      </c>
      <c r="E231" t="s">
        <v>316</v>
      </c>
      <c r="F231" t="s">
        <v>45</v>
      </c>
      <c r="G231" t="s">
        <v>45</v>
      </c>
      <c r="H231">
        <v>1</v>
      </c>
      <c r="I231">
        <v>1</v>
      </c>
      <c r="J231">
        <v>1.2389999999999999E-3</v>
      </c>
      <c r="K231" s="6">
        <v>0</v>
      </c>
      <c r="L231" s="6">
        <v>0</v>
      </c>
      <c r="M231" s="6">
        <v>0</v>
      </c>
      <c r="N231" s="6">
        <v>0</v>
      </c>
      <c r="O231" s="6">
        <v>0</v>
      </c>
      <c r="P231" s="6">
        <v>0</v>
      </c>
      <c r="Q231" s="6">
        <v>25</v>
      </c>
      <c r="R231" s="6">
        <v>0</v>
      </c>
      <c r="S231" s="6">
        <v>0</v>
      </c>
      <c r="T231" s="6">
        <v>6</v>
      </c>
      <c r="U231" s="6">
        <v>1</v>
      </c>
      <c r="V231" s="6">
        <v>4</v>
      </c>
      <c r="W231">
        <v>0</v>
      </c>
      <c r="X231">
        <v>90</v>
      </c>
      <c r="Y231">
        <v>7</v>
      </c>
      <c r="Z231">
        <v>7</v>
      </c>
      <c r="AA231">
        <v>0</v>
      </c>
      <c r="AB231">
        <v>1343</v>
      </c>
      <c r="AC231">
        <v>994.84</v>
      </c>
      <c r="AD231">
        <v>0</v>
      </c>
      <c r="AE231">
        <v>36</v>
      </c>
      <c r="AF231">
        <v>36</v>
      </c>
      <c r="AG231">
        <v>0.25924050632911388</v>
      </c>
      <c r="AH231">
        <v>48348</v>
      </c>
      <c r="AI231">
        <v>35814.239999999998</v>
      </c>
      <c r="AJ231">
        <v>12533.760000000002</v>
      </c>
      <c r="AK231">
        <v>6963.88</v>
      </c>
      <c r="AL231" s="4">
        <v>5.1428571428571423</v>
      </c>
      <c r="AM231">
        <f t="shared" si="3"/>
        <v>2.3333333333333335</v>
      </c>
      <c r="AN231" s="5">
        <v>3</v>
      </c>
      <c r="AO231" s="4">
        <v>0.11534500000000003</v>
      </c>
      <c r="AQ231">
        <v>0.5</v>
      </c>
    </row>
    <row r="232" spans="1:43" x14ac:dyDescent="0.25">
      <c r="A232">
        <v>231</v>
      </c>
      <c r="B232" t="s">
        <v>82</v>
      </c>
      <c r="C232" t="s">
        <v>44</v>
      </c>
      <c r="D232" t="s">
        <v>82</v>
      </c>
      <c r="E232" t="s">
        <v>317</v>
      </c>
      <c r="F232" t="s">
        <v>45</v>
      </c>
      <c r="G232" t="s">
        <v>45</v>
      </c>
      <c r="H232">
        <v>1</v>
      </c>
      <c r="I232">
        <v>1</v>
      </c>
      <c r="J232">
        <v>1.652E-3</v>
      </c>
      <c r="K232" s="6">
        <v>8</v>
      </c>
      <c r="L232" s="6">
        <v>0</v>
      </c>
      <c r="M232" s="6">
        <v>7</v>
      </c>
      <c r="N232" s="6">
        <v>0</v>
      </c>
      <c r="O232" s="6">
        <v>0</v>
      </c>
      <c r="P232" s="6">
        <v>0</v>
      </c>
      <c r="Q232" s="6">
        <v>0</v>
      </c>
      <c r="R232" s="6">
        <v>0</v>
      </c>
      <c r="S232" s="6">
        <v>2</v>
      </c>
      <c r="T232" s="6">
        <v>0</v>
      </c>
      <c r="U232" s="6">
        <v>0</v>
      </c>
      <c r="V232" s="6">
        <v>3</v>
      </c>
      <c r="W232">
        <v>0</v>
      </c>
      <c r="X232">
        <v>90</v>
      </c>
      <c r="Y232">
        <v>7</v>
      </c>
      <c r="Z232">
        <v>7</v>
      </c>
      <c r="AA232">
        <v>0</v>
      </c>
      <c r="AB232">
        <v>2400</v>
      </c>
      <c r="AC232">
        <v>733.25</v>
      </c>
      <c r="AD232">
        <v>0</v>
      </c>
      <c r="AE232">
        <v>20</v>
      </c>
      <c r="AF232">
        <v>20</v>
      </c>
      <c r="AG232">
        <v>0.69447916666666665</v>
      </c>
      <c r="AH232">
        <v>48000</v>
      </c>
      <c r="AI232">
        <v>14665</v>
      </c>
      <c r="AJ232">
        <v>33335</v>
      </c>
      <c r="AK232">
        <v>5132.75</v>
      </c>
      <c r="AL232" s="4">
        <v>2.8571428571428572</v>
      </c>
      <c r="AM232">
        <f t="shared" si="3"/>
        <v>4.2</v>
      </c>
      <c r="AN232" s="5">
        <v>1.6666666666666667</v>
      </c>
      <c r="AO232" s="4">
        <v>0.11534500000000003</v>
      </c>
      <c r="AQ232">
        <v>0.5</v>
      </c>
    </row>
    <row r="233" spans="1:43" x14ac:dyDescent="0.25">
      <c r="A233">
        <v>232</v>
      </c>
      <c r="B233" t="s">
        <v>82</v>
      </c>
      <c r="C233" t="s">
        <v>44</v>
      </c>
      <c r="D233" t="s">
        <v>82</v>
      </c>
      <c r="E233" t="s">
        <v>318</v>
      </c>
      <c r="F233" t="s">
        <v>45</v>
      </c>
      <c r="G233" t="s">
        <v>45</v>
      </c>
      <c r="H233">
        <v>1</v>
      </c>
      <c r="I233">
        <v>1</v>
      </c>
      <c r="J233">
        <v>1.4160000000000002E-3</v>
      </c>
      <c r="K233" s="6">
        <v>0</v>
      </c>
      <c r="L233" s="6">
        <v>12</v>
      </c>
      <c r="M233" s="6">
        <v>-5</v>
      </c>
      <c r="N233" s="6">
        <v>0</v>
      </c>
      <c r="O233" s="6">
        <v>3</v>
      </c>
      <c r="P233" s="6">
        <v>0</v>
      </c>
      <c r="Q233" s="6">
        <v>6</v>
      </c>
      <c r="R233" s="6">
        <v>0</v>
      </c>
      <c r="S233" s="6">
        <v>0</v>
      </c>
      <c r="T233" s="6">
        <v>0</v>
      </c>
      <c r="U233" s="6">
        <v>0</v>
      </c>
      <c r="V233" s="6">
        <v>3</v>
      </c>
      <c r="W233">
        <v>0</v>
      </c>
      <c r="X233">
        <v>90</v>
      </c>
      <c r="Y233">
        <v>6</v>
      </c>
      <c r="Z233">
        <v>6</v>
      </c>
      <c r="AA233">
        <v>0</v>
      </c>
      <c r="AB233">
        <v>2400</v>
      </c>
      <c r="AC233">
        <v>1339.76</v>
      </c>
      <c r="AD233">
        <v>0</v>
      </c>
      <c r="AE233">
        <v>19</v>
      </c>
      <c r="AF233">
        <v>19</v>
      </c>
      <c r="AG233">
        <v>0.4417666666666667</v>
      </c>
      <c r="AH233">
        <v>45600</v>
      </c>
      <c r="AI233">
        <v>25455.439999999999</v>
      </c>
      <c r="AJ233">
        <v>20144.560000000001</v>
      </c>
      <c r="AK233">
        <v>8038.5599999999995</v>
      </c>
      <c r="AL233" s="4">
        <v>3.1666666666666665</v>
      </c>
      <c r="AM233">
        <f t="shared" si="3"/>
        <v>3.7894736842105265</v>
      </c>
      <c r="AN233" s="5">
        <v>1.5833333333333333</v>
      </c>
      <c r="AO233" s="4">
        <v>0.11534500000000003</v>
      </c>
      <c r="AQ233">
        <v>0.5</v>
      </c>
    </row>
    <row r="234" spans="1:43" x14ac:dyDescent="0.25">
      <c r="A234">
        <v>233</v>
      </c>
      <c r="B234" t="s">
        <v>82</v>
      </c>
      <c r="C234" t="s">
        <v>44</v>
      </c>
      <c r="D234" t="s">
        <v>82</v>
      </c>
      <c r="E234" t="s">
        <v>319</v>
      </c>
      <c r="F234" t="s">
        <v>45</v>
      </c>
      <c r="G234" t="s">
        <v>45</v>
      </c>
      <c r="H234">
        <v>1</v>
      </c>
      <c r="I234">
        <v>1</v>
      </c>
      <c r="J234">
        <v>1.652E-3</v>
      </c>
      <c r="K234" s="6">
        <v>0</v>
      </c>
      <c r="L234" s="6">
        <v>7</v>
      </c>
      <c r="M234" s="6">
        <v>0</v>
      </c>
      <c r="N234" s="6">
        <v>2</v>
      </c>
      <c r="O234" s="6">
        <v>0</v>
      </c>
      <c r="P234" s="6">
        <v>0</v>
      </c>
      <c r="Q234" s="6">
        <v>0</v>
      </c>
      <c r="R234" s="6">
        <v>3</v>
      </c>
      <c r="S234" s="6">
        <v>0</v>
      </c>
      <c r="T234" s="6">
        <v>9</v>
      </c>
      <c r="U234" s="6">
        <v>10</v>
      </c>
      <c r="V234" s="6">
        <v>-5</v>
      </c>
      <c r="W234">
        <v>0</v>
      </c>
      <c r="X234">
        <v>90</v>
      </c>
      <c r="Y234">
        <v>7</v>
      </c>
      <c r="Z234">
        <v>7</v>
      </c>
      <c r="AA234">
        <v>0</v>
      </c>
      <c r="AB234">
        <v>1460</v>
      </c>
      <c r="AC234">
        <v>923.9</v>
      </c>
      <c r="AD234">
        <v>0</v>
      </c>
      <c r="AE234">
        <v>26</v>
      </c>
      <c r="AF234">
        <v>26</v>
      </c>
      <c r="AG234">
        <v>0.36719178082191778</v>
      </c>
      <c r="AH234">
        <v>37960</v>
      </c>
      <c r="AI234">
        <v>24021.399999999998</v>
      </c>
      <c r="AJ234">
        <v>13938.600000000002</v>
      </c>
      <c r="AK234">
        <v>6467.3</v>
      </c>
      <c r="AL234" s="4">
        <v>3.714285714285714</v>
      </c>
      <c r="AM234">
        <f t="shared" si="3"/>
        <v>3.2307692307692308</v>
      </c>
      <c r="AN234" s="5">
        <v>2.1666666666666665</v>
      </c>
      <c r="AO234" s="4">
        <v>0.11534500000000003</v>
      </c>
      <c r="AQ234">
        <v>0.5</v>
      </c>
    </row>
    <row r="235" spans="1:43" x14ac:dyDescent="0.25">
      <c r="A235">
        <v>234</v>
      </c>
      <c r="B235" t="s">
        <v>82</v>
      </c>
      <c r="C235" t="s">
        <v>44</v>
      </c>
      <c r="D235" t="s">
        <v>82</v>
      </c>
      <c r="E235" t="s">
        <v>320</v>
      </c>
      <c r="F235" t="s">
        <v>45</v>
      </c>
      <c r="G235" t="s">
        <v>45</v>
      </c>
      <c r="H235">
        <v>1</v>
      </c>
      <c r="I235">
        <v>1</v>
      </c>
      <c r="J235">
        <v>1.4160000000000002E-3</v>
      </c>
      <c r="K235" s="6">
        <v>0</v>
      </c>
      <c r="L235" s="6">
        <v>0</v>
      </c>
      <c r="M235" s="6">
        <v>0</v>
      </c>
      <c r="N235" s="6">
        <v>0</v>
      </c>
      <c r="O235" s="6">
        <v>0</v>
      </c>
      <c r="P235" s="6">
        <v>5</v>
      </c>
      <c r="Q235" s="6">
        <v>0</v>
      </c>
      <c r="R235" s="6">
        <v>3</v>
      </c>
      <c r="S235" s="6">
        <v>0</v>
      </c>
      <c r="T235" s="6">
        <v>9</v>
      </c>
      <c r="U235" s="6">
        <v>10</v>
      </c>
      <c r="V235" s="6">
        <v>-5</v>
      </c>
      <c r="W235">
        <v>0</v>
      </c>
      <c r="X235">
        <v>90</v>
      </c>
      <c r="Y235">
        <v>6</v>
      </c>
      <c r="Z235">
        <v>6</v>
      </c>
      <c r="AA235">
        <v>0</v>
      </c>
      <c r="AB235">
        <v>1460</v>
      </c>
      <c r="AC235">
        <v>923.54</v>
      </c>
      <c r="AD235">
        <v>0</v>
      </c>
      <c r="AE235">
        <v>22</v>
      </c>
      <c r="AF235">
        <v>22</v>
      </c>
      <c r="AG235">
        <v>0.36743835616438358</v>
      </c>
      <c r="AH235">
        <v>32120</v>
      </c>
      <c r="AI235">
        <v>20317.879999999997</v>
      </c>
      <c r="AJ235">
        <v>11802.120000000003</v>
      </c>
      <c r="AK235">
        <v>5541.24</v>
      </c>
      <c r="AL235" s="4">
        <v>3.6666666666666665</v>
      </c>
      <c r="AM235">
        <f t="shared" si="3"/>
        <v>3.2727272727272729</v>
      </c>
      <c r="AN235" s="5">
        <v>1.8333333333333333</v>
      </c>
      <c r="AO235" s="4">
        <v>0.11534500000000003</v>
      </c>
      <c r="AQ235">
        <v>0.5</v>
      </c>
    </row>
    <row r="236" spans="1:43" x14ac:dyDescent="0.25">
      <c r="A236">
        <v>235</v>
      </c>
      <c r="B236" t="s">
        <v>82</v>
      </c>
      <c r="C236" t="s">
        <v>44</v>
      </c>
      <c r="D236" t="s">
        <v>82</v>
      </c>
      <c r="E236" t="s">
        <v>321</v>
      </c>
      <c r="F236" t="s">
        <v>45</v>
      </c>
      <c r="G236" t="s">
        <v>45</v>
      </c>
      <c r="H236">
        <v>1</v>
      </c>
      <c r="I236">
        <v>1</v>
      </c>
      <c r="J236">
        <v>1.2389999999999999E-3</v>
      </c>
      <c r="K236" s="6">
        <v>0</v>
      </c>
      <c r="L236" s="6">
        <v>0</v>
      </c>
      <c r="M236" s="6">
        <v>0</v>
      </c>
      <c r="N236" s="6">
        <v>22</v>
      </c>
      <c r="O236" s="6">
        <v>0</v>
      </c>
      <c r="P236" s="6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>
        <v>0</v>
      </c>
      <c r="X236">
        <v>90</v>
      </c>
      <c r="Y236">
        <v>7</v>
      </c>
      <c r="Z236">
        <v>7</v>
      </c>
      <c r="AA236">
        <v>0</v>
      </c>
      <c r="AB236">
        <v>1343</v>
      </c>
      <c r="AC236">
        <v>499.1</v>
      </c>
      <c r="AD236">
        <v>0</v>
      </c>
      <c r="AE236">
        <v>22</v>
      </c>
      <c r="AF236">
        <v>22</v>
      </c>
      <c r="AG236">
        <v>0.62836932241250931</v>
      </c>
      <c r="AH236">
        <v>29546</v>
      </c>
      <c r="AI236">
        <v>10980.2</v>
      </c>
      <c r="AJ236">
        <v>18565.8</v>
      </c>
      <c r="AK236">
        <v>3493.7000000000003</v>
      </c>
      <c r="AL236" s="4">
        <v>3.1428571428571428</v>
      </c>
      <c r="AM236">
        <f t="shared" si="3"/>
        <v>3.8181818181818183</v>
      </c>
      <c r="AN236" s="5">
        <v>1.8333333333333333</v>
      </c>
      <c r="AO236" s="4">
        <v>0.11534500000000003</v>
      </c>
      <c r="AQ236">
        <v>0.5</v>
      </c>
    </row>
    <row r="237" spans="1:43" x14ac:dyDescent="0.25">
      <c r="A237">
        <v>236</v>
      </c>
      <c r="B237" t="s">
        <v>82</v>
      </c>
      <c r="C237" t="s">
        <v>44</v>
      </c>
      <c r="D237" t="s">
        <v>82</v>
      </c>
      <c r="E237" t="s">
        <v>322</v>
      </c>
      <c r="F237" t="s">
        <v>45</v>
      </c>
      <c r="G237" t="s">
        <v>45</v>
      </c>
      <c r="H237">
        <v>1</v>
      </c>
      <c r="I237">
        <v>1</v>
      </c>
      <c r="J237">
        <v>1.652E-3</v>
      </c>
      <c r="K237" s="6">
        <v>0</v>
      </c>
      <c r="L237" s="6">
        <v>0</v>
      </c>
      <c r="M237" s="6">
        <v>10</v>
      </c>
      <c r="N237" s="6">
        <v>0</v>
      </c>
      <c r="O237" s="6">
        <v>0</v>
      </c>
      <c r="P237" s="6">
        <v>0</v>
      </c>
      <c r="Q237" s="6">
        <v>2</v>
      </c>
      <c r="R237" s="6">
        <v>0</v>
      </c>
      <c r="S237" s="6">
        <v>0</v>
      </c>
      <c r="T237" s="6">
        <v>0</v>
      </c>
      <c r="U237" s="6">
        <v>6</v>
      </c>
      <c r="V237" s="6">
        <v>0</v>
      </c>
      <c r="W237">
        <v>0</v>
      </c>
      <c r="X237">
        <v>90</v>
      </c>
      <c r="Y237">
        <v>7</v>
      </c>
      <c r="Z237">
        <v>7</v>
      </c>
      <c r="AA237">
        <v>0</v>
      </c>
      <c r="AB237">
        <v>1460</v>
      </c>
      <c r="AC237">
        <v>1338.41</v>
      </c>
      <c r="AD237">
        <v>0</v>
      </c>
      <c r="AE237">
        <v>18</v>
      </c>
      <c r="AF237">
        <v>18</v>
      </c>
      <c r="AG237">
        <v>8.3280821917808168E-2</v>
      </c>
      <c r="AH237">
        <v>26280</v>
      </c>
      <c r="AI237">
        <v>24091.38</v>
      </c>
      <c r="AJ237">
        <v>2188.619999999999</v>
      </c>
      <c r="AK237">
        <v>9368.8700000000008</v>
      </c>
      <c r="AL237" s="4">
        <v>2.5714285714285712</v>
      </c>
      <c r="AM237">
        <f t="shared" si="3"/>
        <v>4.666666666666667</v>
      </c>
      <c r="AN237" s="5">
        <v>1.5</v>
      </c>
      <c r="AO237" s="4">
        <v>0.11534500000000003</v>
      </c>
      <c r="AQ237">
        <v>0.5</v>
      </c>
    </row>
    <row r="238" spans="1:43" x14ac:dyDescent="0.25">
      <c r="A238">
        <v>237</v>
      </c>
      <c r="B238" t="s">
        <v>85</v>
      </c>
      <c r="C238" t="s">
        <v>44</v>
      </c>
      <c r="D238" t="s">
        <v>85</v>
      </c>
      <c r="E238" t="s">
        <v>323</v>
      </c>
      <c r="F238" t="s">
        <v>45</v>
      </c>
      <c r="G238" t="s">
        <v>45</v>
      </c>
      <c r="H238">
        <v>1</v>
      </c>
      <c r="I238">
        <v>1</v>
      </c>
      <c r="J238">
        <v>1.1999999999999999E-3</v>
      </c>
      <c r="K238" s="6">
        <v>0</v>
      </c>
      <c r="L238" s="6">
        <v>0</v>
      </c>
      <c r="M238" s="6">
        <v>6</v>
      </c>
      <c r="N238" s="6">
        <v>0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>
        <v>0</v>
      </c>
      <c r="X238">
        <v>90</v>
      </c>
      <c r="Y238">
        <v>2</v>
      </c>
      <c r="Z238">
        <v>2</v>
      </c>
      <c r="AA238">
        <v>0</v>
      </c>
      <c r="AB238">
        <v>3800</v>
      </c>
      <c r="AC238">
        <v>1853.53</v>
      </c>
      <c r="AD238">
        <v>0</v>
      </c>
      <c r="AE238">
        <v>6</v>
      </c>
      <c r="AF238">
        <v>6</v>
      </c>
      <c r="AG238">
        <v>0.51222894736842106</v>
      </c>
      <c r="AH238">
        <v>22800</v>
      </c>
      <c r="AI238">
        <v>11121.18</v>
      </c>
      <c r="AJ238">
        <v>11678.82</v>
      </c>
      <c r="AK238">
        <v>3707.06</v>
      </c>
      <c r="AL238" s="4">
        <v>3</v>
      </c>
      <c r="AM238">
        <f t="shared" si="3"/>
        <v>4</v>
      </c>
      <c r="AN238" s="5">
        <v>0.5</v>
      </c>
      <c r="AO238" s="4">
        <v>2.8799999999999999E-2</v>
      </c>
      <c r="AQ238">
        <v>0.5</v>
      </c>
    </row>
    <row r="239" spans="1:43" x14ac:dyDescent="0.25">
      <c r="A239">
        <v>238</v>
      </c>
      <c r="B239" t="s">
        <v>82</v>
      </c>
      <c r="C239" t="s">
        <v>44</v>
      </c>
      <c r="D239" t="s">
        <v>82</v>
      </c>
      <c r="E239" t="s">
        <v>324</v>
      </c>
      <c r="F239" t="s">
        <v>45</v>
      </c>
      <c r="G239" t="s">
        <v>45</v>
      </c>
      <c r="H239">
        <v>1</v>
      </c>
      <c r="I239">
        <v>1</v>
      </c>
      <c r="J239">
        <v>1.1800000000000001E-3</v>
      </c>
      <c r="K239" s="6">
        <v>0</v>
      </c>
      <c r="L239" s="6">
        <v>0</v>
      </c>
      <c r="M239" s="6">
        <v>8</v>
      </c>
      <c r="N239" s="6">
        <v>0</v>
      </c>
      <c r="O239" s="6">
        <v>0</v>
      </c>
      <c r="P239" s="6">
        <v>0</v>
      </c>
      <c r="Q239" s="6">
        <v>1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>
        <v>0</v>
      </c>
      <c r="X239">
        <v>90</v>
      </c>
      <c r="Y239">
        <v>5</v>
      </c>
      <c r="Z239">
        <v>5</v>
      </c>
      <c r="AA239">
        <v>0</v>
      </c>
      <c r="AB239">
        <v>1460</v>
      </c>
      <c r="AC239">
        <v>676.76</v>
      </c>
      <c r="AD239">
        <v>0</v>
      </c>
      <c r="AE239">
        <v>9</v>
      </c>
      <c r="AF239">
        <v>9</v>
      </c>
      <c r="AG239">
        <v>0.53646575342465752</v>
      </c>
      <c r="AH239">
        <v>13140</v>
      </c>
      <c r="AI239">
        <v>6090.84</v>
      </c>
      <c r="AJ239">
        <v>7049.16</v>
      </c>
      <c r="AK239">
        <v>3383.8</v>
      </c>
      <c r="AL239" s="4">
        <v>1.8</v>
      </c>
      <c r="AM239">
        <f t="shared" si="3"/>
        <v>6.6666666666666661</v>
      </c>
      <c r="AN239" s="5">
        <v>0.75</v>
      </c>
      <c r="AO239" s="4">
        <v>0.11534500000000003</v>
      </c>
      <c r="AQ239">
        <v>0.5</v>
      </c>
    </row>
    <row r="240" spans="1:43" x14ac:dyDescent="0.25">
      <c r="A240">
        <v>239</v>
      </c>
      <c r="B240" t="s">
        <v>85</v>
      </c>
      <c r="C240" t="s">
        <v>44</v>
      </c>
      <c r="D240" t="s">
        <v>85</v>
      </c>
      <c r="E240" t="s">
        <v>325</v>
      </c>
      <c r="F240" t="s">
        <v>45</v>
      </c>
      <c r="G240" t="s">
        <v>45</v>
      </c>
      <c r="H240">
        <v>1</v>
      </c>
      <c r="I240">
        <v>1</v>
      </c>
      <c r="J240">
        <v>1.1999999999999999E-3</v>
      </c>
      <c r="K240" s="6">
        <v>0</v>
      </c>
      <c r="L240" s="6">
        <v>0</v>
      </c>
      <c r="M240" s="6">
        <v>2</v>
      </c>
      <c r="N240" s="6">
        <v>0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>
        <v>0</v>
      </c>
      <c r="X240">
        <v>90</v>
      </c>
      <c r="Y240">
        <v>2</v>
      </c>
      <c r="Z240">
        <v>2</v>
      </c>
      <c r="AA240">
        <v>0</v>
      </c>
      <c r="AB240">
        <v>3800</v>
      </c>
      <c r="AC240">
        <v>1853.53</v>
      </c>
      <c r="AD240">
        <v>0</v>
      </c>
      <c r="AE240">
        <v>2</v>
      </c>
      <c r="AF240">
        <v>2</v>
      </c>
      <c r="AG240">
        <v>0.51222894736842106</v>
      </c>
      <c r="AH240">
        <v>7600</v>
      </c>
      <c r="AI240">
        <v>3707.06</v>
      </c>
      <c r="AJ240">
        <v>3892.94</v>
      </c>
      <c r="AK240">
        <v>3707.06</v>
      </c>
      <c r="AL240" s="4">
        <v>1</v>
      </c>
      <c r="AM240">
        <f t="shared" si="3"/>
        <v>12</v>
      </c>
      <c r="AN240" s="5">
        <v>0.16666666666666666</v>
      </c>
      <c r="AO240" s="4">
        <v>2.8799999999999999E-2</v>
      </c>
      <c r="AQ240">
        <v>0.5</v>
      </c>
    </row>
    <row r="241" spans="1:43" x14ac:dyDescent="0.25">
      <c r="A241">
        <v>240</v>
      </c>
      <c r="B241" t="s">
        <v>85</v>
      </c>
      <c r="C241" t="s">
        <v>44</v>
      </c>
      <c r="D241" t="s">
        <v>85</v>
      </c>
      <c r="E241" t="s">
        <v>326</v>
      </c>
      <c r="F241" t="s">
        <v>45</v>
      </c>
      <c r="G241" t="s">
        <v>45</v>
      </c>
      <c r="H241">
        <v>1</v>
      </c>
      <c r="I241">
        <v>1</v>
      </c>
      <c r="J241">
        <v>1.1999999999999999E-3</v>
      </c>
      <c r="K241" s="6">
        <v>1</v>
      </c>
      <c r="L241" s="6">
        <v>0</v>
      </c>
      <c r="M241" s="6">
        <v>1</v>
      </c>
      <c r="N241" s="6">
        <v>-1</v>
      </c>
      <c r="O241" s="6">
        <v>0</v>
      </c>
      <c r="P241" s="6">
        <v>0</v>
      </c>
      <c r="Q241" s="6">
        <v>1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>
        <v>0</v>
      </c>
      <c r="X241">
        <v>90</v>
      </c>
      <c r="Y241">
        <v>2</v>
      </c>
      <c r="Z241">
        <v>2</v>
      </c>
      <c r="AA241">
        <v>0</v>
      </c>
      <c r="AB241">
        <v>3800</v>
      </c>
      <c r="AC241">
        <v>1547.72</v>
      </c>
      <c r="AD241">
        <v>0</v>
      </c>
      <c r="AE241">
        <v>2</v>
      </c>
      <c r="AF241">
        <v>2</v>
      </c>
      <c r="AG241">
        <v>0.59270526315789462</v>
      </c>
      <c r="AH241">
        <v>7600</v>
      </c>
      <c r="AI241">
        <v>3095.44</v>
      </c>
      <c r="AJ241">
        <v>4504.5599999999995</v>
      </c>
      <c r="AK241">
        <v>3095.44</v>
      </c>
      <c r="AL241" s="4">
        <v>1</v>
      </c>
      <c r="AM241">
        <f t="shared" si="3"/>
        <v>12</v>
      </c>
      <c r="AN241" s="5">
        <v>0.16666666666666666</v>
      </c>
      <c r="AO241" s="4">
        <v>2.8799999999999999E-2</v>
      </c>
      <c r="AQ241">
        <v>0.5</v>
      </c>
    </row>
    <row r="242" spans="1:43" x14ac:dyDescent="0.25">
      <c r="A242">
        <v>241</v>
      </c>
      <c r="B242" t="s">
        <v>82</v>
      </c>
      <c r="C242" t="s">
        <v>44</v>
      </c>
      <c r="D242" t="s">
        <v>82</v>
      </c>
      <c r="E242" t="s">
        <v>327</v>
      </c>
      <c r="F242" t="s">
        <v>45</v>
      </c>
      <c r="G242" t="s">
        <v>45</v>
      </c>
      <c r="H242">
        <v>1</v>
      </c>
      <c r="I242">
        <v>1</v>
      </c>
      <c r="J242">
        <v>1.7699999999999999E-4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6">
        <v>0</v>
      </c>
      <c r="Q242" s="6">
        <v>0</v>
      </c>
      <c r="R242" s="6">
        <v>5</v>
      </c>
      <c r="S242" s="6">
        <v>0</v>
      </c>
      <c r="T242" s="6">
        <v>0</v>
      </c>
      <c r="U242" s="6">
        <v>0</v>
      </c>
      <c r="V242" s="6">
        <v>0</v>
      </c>
      <c r="W242">
        <v>0</v>
      </c>
      <c r="X242">
        <v>90</v>
      </c>
      <c r="Y242">
        <v>1</v>
      </c>
      <c r="Z242">
        <v>1</v>
      </c>
      <c r="AA242">
        <v>0</v>
      </c>
      <c r="AB242">
        <v>1343</v>
      </c>
      <c r="AC242">
        <v>1043.3900000000001</v>
      </c>
      <c r="AD242">
        <v>0</v>
      </c>
      <c r="AE242">
        <v>5</v>
      </c>
      <c r="AF242">
        <v>5</v>
      </c>
      <c r="AG242">
        <v>0.2230900967982129</v>
      </c>
      <c r="AH242">
        <v>6715</v>
      </c>
      <c r="AI242">
        <v>5216.9500000000007</v>
      </c>
      <c r="AJ242">
        <v>1498.0499999999993</v>
      </c>
      <c r="AK242">
        <v>1043.3900000000001</v>
      </c>
      <c r="AL242" s="4">
        <v>5</v>
      </c>
      <c r="AM242">
        <f t="shared" si="3"/>
        <v>2.4</v>
      </c>
      <c r="AN242" s="5">
        <v>0.41666666666666669</v>
      </c>
      <c r="AO242" s="4">
        <v>0.11534500000000003</v>
      </c>
      <c r="AQ242">
        <v>0.5</v>
      </c>
    </row>
    <row r="243" spans="1:43" x14ac:dyDescent="0.25">
      <c r="A243">
        <v>242</v>
      </c>
      <c r="B243" t="s">
        <v>82</v>
      </c>
      <c r="C243" t="s">
        <v>44</v>
      </c>
      <c r="D243" t="s">
        <v>82</v>
      </c>
      <c r="E243" t="s">
        <v>328</v>
      </c>
      <c r="F243" t="s">
        <v>45</v>
      </c>
      <c r="G243" t="s">
        <v>45</v>
      </c>
      <c r="H243">
        <v>1</v>
      </c>
      <c r="I243">
        <v>1</v>
      </c>
      <c r="J243">
        <v>2.3600000000000002E-4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3</v>
      </c>
      <c r="W243">
        <v>0</v>
      </c>
      <c r="X243">
        <v>90</v>
      </c>
      <c r="Y243">
        <v>1</v>
      </c>
      <c r="Z243">
        <v>1</v>
      </c>
      <c r="AA243">
        <v>0</v>
      </c>
      <c r="AB243">
        <v>1460</v>
      </c>
      <c r="AC243">
        <v>1043.3900000000001</v>
      </c>
      <c r="AD243">
        <v>0</v>
      </c>
      <c r="AE243">
        <v>3</v>
      </c>
      <c r="AF243">
        <v>3</v>
      </c>
      <c r="AG243">
        <v>0.28534931506849309</v>
      </c>
      <c r="AH243">
        <v>4380</v>
      </c>
      <c r="AI243">
        <v>3130.17</v>
      </c>
      <c r="AJ243">
        <v>1249.83</v>
      </c>
      <c r="AK243">
        <v>1043.3900000000001</v>
      </c>
      <c r="AL243" s="4">
        <v>3</v>
      </c>
      <c r="AM243">
        <f t="shared" si="3"/>
        <v>4</v>
      </c>
      <c r="AN243" s="5">
        <v>0.25</v>
      </c>
      <c r="AO243" s="4">
        <v>0.11534500000000003</v>
      </c>
      <c r="AQ243">
        <v>0.5</v>
      </c>
    </row>
    <row r="244" spans="1:43" x14ac:dyDescent="0.25">
      <c r="A244">
        <v>243</v>
      </c>
      <c r="B244" t="s">
        <v>82</v>
      </c>
      <c r="C244" t="s">
        <v>44</v>
      </c>
      <c r="D244" t="s">
        <v>82</v>
      </c>
      <c r="E244" t="s">
        <v>329</v>
      </c>
      <c r="F244" t="s">
        <v>45</v>
      </c>
      <c r="G244" t="s">
        <v>45</v>
      </c>
      <c r="H244">
        <v>1</v>
      </c>
      <c r="I244">
        <v>1</v>
      </c>
      <c r="J244">
        <v>2.3600000000000002E-4</v>
      </c>
      <c r="K244" s="6">
        <v>0</v>
      </c>
      <c r="L244" s="6">
        <v>0</v>
      </c>
      <c r="M244" s="6">
        <v>0</v>
      </c>
      <c r="N244" s="6">
        <v>0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3</v>
      </c>
      <c r="W244">
        <v>0</v>
      </c>
      <c r="X244">
        <v>90</v>
      </c>
      <c r="Y244">
        <v>1</v>
      </c>
      <c r="Z244">
        <v>1</v>
      </c>
      <c r="AA244">
        <v>0</v>
      </c>
      <c r="AB244">
        <v>1460</v>
      </c>
      <c r="AC244">
        <v>1043.3900000000001</v>
      </c>
      <c r="AD244">
        <v>0</v>
      </c>
      <c r="AE244">
        <v>3</v>
      </c>
      <c r="AF244">
        <v>3</v>
      </c>
      <c r="AG244">
        <v>0.28534931506849309</v>
      </c>
      <c r="AH244">
        <v>4380</v>
      </c>
      <c r="AI244">
        <v>3130.17</v>
      </c>
      <c r="AJ244">
        <v>1249.83</v>
      </c>
      <c r="AK244">
        <v>1043.3900000000001</v>
      </c>
      <c r="AL244" s="4">
        <v>3</v>
      </c>
      <c r="AM244">
        <f t="shared" si="3"/>
        <v>4</v>
      </c>
      <c r="AN244" s="5">
        <v>0.25</v>
      </c>
      <c r="AO244" s="4">
        <v>0.11534500000000003</v>
      </c>
      <c r="AQ244">
        <v>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B84-8313-4846-B61B-09A6C492C7F0}">
  <dimension ref="A1:B43"/>
  <sheetViews>
    <sheetView workbookViewId="0">
      <selection activeCell="D6" sqref="D6"/>
    </sheetView>
  </sheetViews>
  <sheetFormatPr baseColWidth="10" defaultColWidth="9.140625" defaultRowHeight="15" x14ac:dyDescent="0.25"/>
  <cols>
    <col min="1" max="1" width="61.140625" customWidth="1"/>
    <col min="2" max="2" width="19" customWidth="1"/>
  </cols>
  <sheetData>
    <row r="1" spans="1:2" x14ac:dyDescent="0.25">
      <c r="A1" s="1" t="s">
        <v>46</v>
      </c>
    </row>
    <row r="2" spans="1:2" x14ac:dyDescent="0.25">
      <c r="A2" s="3" t="s">
        <v>47</v>
      </c>
    </row>
    <row r="3" spans="1:2" x14ac:dyDescent="0.25">
      <c r="A3" t="s">
        <v>48</v>
      </c>
      <c r="B3">
        <v>44</v>
      </c>
    </row>
    <row r="4" spans="1:2" x14ac:dyDescent="0.25">
      <c r="A4" t="s">
        <v>49</v>
      </c>
      <c r="B4">
        <v>2955</v>
      </c>
    </row>
    <row r="5" spans="1:2" x14ac:dyDescent="0.25">
      <c r="A5" t="s">
        <v>50</v>
      </c>
      <c r="B5">
        <v>1</v>
      </c>
    </row>
    <row r="6" spans="1:2" x14ac:dyDescent="0.25">
      <c r="A6" t="s">
        <v>51</v>
      </c>
      <c r="B6">
        <v>0</v>
      </c>
    </row>
    <row r="7" spans="1:2" x14ac:dyDescent="0.25">
      <c r="B7" t="s">
        <v>52</v>
      </c>
    </row>
    <row r="8" spans="1:2" x14ac:dyDescent="0.25">
      <c r="A8" t="s">
        <v>53</v>
      </c>
    </row>
    <row r="9" spans="1:2" x14ac:dyDescent="0.25">
      <c r="A9" t="s">
        <v>54</v>
      </c>
      <c r="B9">
        <v>486525121</v>
      </c>
    </row>
    <row r="10" spans="1:2" x14ac:dyDescent="0.25">
      <c r="A10" t="s">
        <v>55</v>
      </c>
      <c r="B10">
        <v>97838256.000000015</v>
      </c>
    </row>
    <row r="11" spans="1:2" x14ac:dyDescent="0.25">
      <c r="A11" t="s">
        <v>56</v>
      </c>
      <c r="B11">
        <v>6262932.0000000009</v>
      </c>
    </row>
    <row r="12" spans="1:2" x14ac:dyDescent="0.25">
      <c r="A12" t="s">
        <v>57</v>
      </c>
      <c r="B12">
        <v>0</v>
      </c>
    </row>
    <row r="13" spans="1:2" x14ac:dyDescent="0.25">
      <c r="A13" t="s">
        <v>78</v>
      </c>
      <c r="B13">
        <v>34581000</v>
      </c>
    </row>
    <row r="14" spans="1:2" x14ac:dyDescent="0.25">
      <c r="A14" t="s">
        <v>58</v>
      </c>
      <c r="B14">
        <v>8946036</v>
      </c>
    </row>
    <row r="15" spans="1:2" x14ac:dyDescent="0.25">
      <c r="A15" t="s">
        <v>59</v>
      </c>
    </row>
    <row r="16" spans="1:2" x14ac:dyDescent="0.25">
      <c r="A16" t="s">
        <v>60</v>
      </c>
      <c r="B16">
        <v>0</v>
      </c>
    </row>
    <row r="17" spans="1:2" x14ac:dyDescent="0.25">
      <c r="A17" t="s">
        <v>61</v>
      </c>
      <c r="B17">
        <v>15000000</v>
      </c>
    </row>
    <row r="18" spans="1:2" x14ac:dyDescent="0.25">
      <c r="A18" t="s">
        <v>62</v>
      </c>
      <c r="B18">
        <v>386717082</v>
      </c>
    </row>
    <row r="19" spans="1:2" x14ac:dyDescent="0.25">
      <c r="A19" t="s">
        <v>63</v>
      </c>
      <c r="B19">
        <v>1257360</v>
      </c>
    </row>
    <row r="20" spans="1:2" x14ac:dyDescent="0.25">
      <c r="A20" t="s">
        <v>79</v>
      </c>
      <c r="B20">
        <v>17908718</v>
      </c>
    </row>
    <row r="21" spans="1:2" x14ac:dyDescent="0.25">
      <c r="A21" t="s">
        <v>64</v>
      </c>
      <c r="B21">
        <v>0</v>
      </c>
    </row>
    <row r="23" spans="1:2" x14ac:dyDescent="0.25">
      <c r="A23" s="1" t="s">
        <v>65</v>
      </c>
    </row>
    <row r="24" spans="1:2" x14ac:dyDescent="0.25">
      <c r="A24" s="3" t="s">
        <v>47</v>
      </c>
    </row>
    <row r="25" spans="1:2" x14ac:dyDescent="0.25">
      <c r="A25" t="s">
        <v>66</v>
      </c>
      <c r="B25">
        <v>0</v>
      </c>
    </row>
    <row r="26" spans="1:2" x14ac:dyDescent="0.25">
      <c r="A26" t="s">
        <v>67</v>
      </c>
      <c r="B26">
        <v>243</v>
      </c>
    </row>
    <row r="27" spans="1:2" x14ac:dyDescent="0.25">
      <c r="A27" t="s">
        <v>68</v>
      </c>
      <c r="B27">
        <v>1</v>
      </c>
    </row>
    <row r="28" spans="1:2" x14ac:dyDescent="0.25">
      <c r="A28" t="s">
        <v>69</v>
      </c>
      <c r="B28">
        <v>1</v>
      </c>
    </row>
    <row r="29" spans="1:2" x14ac:dyDescent="0.25">
      <c r="A29" t="s">
        <v>70</v>
      </c>
      <c r="B29">
        <v>1</v>
      </c>
    </row>
    <row r="30" spans="1:2" x14ac:dyDescent="0.25">
      <c r="A30" t="s">
        <v>53</v>
      </c>
    </row>
    <row r="31" spans="1:2" x14ac:dyDescent="0.25">
      <c r="A31" t="s">
        <v>71</v>
      </c>
      <c r="B31">
        <v>0</v>
      </c>
    </row>
    <row r="32" spans="1:2" x14ac:dyDescent="0.25">
      <c r="A32" t="s">
        <v>72</v>
      </c>
      <c r="B32">
        <v>0</v>
      </c>
    </row>
    <row r="33" spans="1:2" x14ac:dyDescent="0.25">
      <c r="A33" t="s">
        <v>56</v>
      </c>
      <c r="B33">
        <v>0</v>
      </c>
    </row>
    <row r="34" spans="1:2" x14ac:dyDescent="0.25">
      <c r="A34" t="s">
        <v>73</v>
      </c>
      <c r="B34">
        <v>0</v>
      </c>
    </row>
    <row r="35" spans="1:2" x14ac:dyDescent="0.25">
      <c r="A35" t="s">
        <v>74</v>
      </c>
      <c r="B35">
        <v>0</v>
      </c>
    </row>
    <row r="36" spans="1:2" x14ac:dyDescent="0.25">
      <c r="A36" t="s">
        <v>58</v>
      </c>
      <c r="B36">
        <v>0</v>
      </c>
    </row>
    <row r="37" spans="1:2" x14ac:dyDescent="0.25">
      <c r="A37" t="s">
        <v>59</v>
      </c>
    </row>
    <row r="38" spans="1:2" x14ac:dyDescent="0.25">
      <c r="A38" t="s">
        <v>75</v>
      </c>
      <c r="B38">
        <v>356424778.2093153</v>
      </c>
    </row>
    <row r="39" spans="1:2" x14ac:dyDescent="0.25">
      <c r="A39" t="s">
        <v>76</v>
      </c>
      <c r="B39">
        <v>0</v>
      </c>
    </row>
    <row r="40" spans="1:2" x14ac:dyDescent="0.25">
      <c r="A40" t="s">
        <v>77</v>
      </c>
      <c r="B40">
        <v>0</v>
      </c>
    </row>
    <row r="42" spans="1:2" x14ac:dyDescent="0.25">
      <c r="A42" t="s">
        <v>80</v>
      </c>
      <c r="B42">
        <v>2500</v>
      </c>
    </row>
    <row r="43" spans="1:2" x14ac:dyDescent="0.25">
      <c r="A43" t="s">
        <v>81</v>
      </c>
      <c r="B43" s="2">
        <v>0.12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parametros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Herrera Gonzalez</cp:lastModifiedBy>
  <dcterms:created xsi:type="dcterms:W3CDTF">2026-09-07T20:23:28Z</dcterms:created>
  <dcterms:modified xsi:type="dcterms:W3CDTF">2026-09-07T23:43:25Z</dcterms:modified>
</cp:coreProperties>
</file>