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97b992f5ca9b29c/Documents/LRI SupplyChain optimization/data/sources/"/>
    </mc:Choice>
  </mc:AlternateContent>
  <xr:revisionPtr revIDLastSave="81" documentId="11_5C0955DB1657F95119C1D6F0505ED87656CE6A58" xr6:coauthVersionLast="47" xr6:coauthVersionMax="47" xr10:uidLastSave="{DE772E62-269F-4E10-8FCD-CBAB48ED38C2}"/>
  <bookViews>
    <workbookView xWindow="-104" yWindow="-104" windowWidth="22326" windowHeight="13306" xr2:uid="{00000000-000D-0000-FFFF-FFFF00000000}"/>
  </bookViews>
  <sheets>
    <sheet name="data" sheetId="1" r:id="rId1"/>
    <sheet name="para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<sst xmlns="http://schemas.openxmlformats.org/spreadsheetml/2006/main" count="774" uniqueCount="303">
  <si>
    <t>codigo</t>
  </si>
  <si>
    <t>categoria</t>
  </si>
  <si>
    <t>clase</t>
  </si>
  <si>
    <t>subcategoria</t>
  </si>
  <si>
    <t>descripcion</t>
  </si>
  <si>
    <t>proveedor</t>
  </si>
  <si>
    <t>pais</t>
  </si>
  <si>
    <t>empaque</t>
  </si>
  <si>
    <t>bultos tarima</t>
  </si>
  <si>
    <t>cubicaje tarima</t>
  </si>
  <si>
    <t>demada mes 1</t>
  </si>
  <si>
    <t>demanda mes 2</t>
  </si>
  <si>
    <t>demada mes 3</t>
  </si>
  <si>
    <t>demanda mes 4</t>
  </si>
  <si>
    <t>demada mes 5</t>
  </si>
  <si>
    <t>demanda mes 6</t>
  </si>
  <si>
    <t>demanda mes 7</t>
  </si>
  <si>
    <t>demanda mes 8</t>
  </si>
  <si>
    <t>demanda mes 9</t>
  </si>
  <si>
    <t>demanda mes 10</t>
  </si>
  <si>
    <t>demanda mes 11</t>
  </si>
  <si>
    <t>demanda mes 12</t>
  </si>
  <si>
    <t>ordenes anual</t>
  </si>
  <si>
    <t>tiempo entrega</t>
  </si>
  <si>
    <t>inventario final bulto</t>
  </si>
  <si>
    <t>inventario promedio bultos</t>
  </si>
  <si>
    <t>valor inventario transito</t>
  </si>
  <si>
    <t>precio unitario bulto</t>
  </si>
  <si>
    <t>costo unitario bulto</t>
  </si>
  <si>
    <t>factor escazes</t>
  </si>
  <si>
    <t>unidades vendidas</t>
  </si>
  <si>
    <t>bultos vendidos</t>
  </si>
  <si>
    <t>margen utilidad ventas</t>
  </si>
  <si>
    <t>ventas totales</t>
  </si>
  <si>
    <t>ventas costo</t>
  </si>
  <si>
    <t>margen bruto total</t>
  </si>
  <si>
    <t>valor inventario promedio</t>
  </si>
  <si>
    <t>rotacion</t>
  </si>
  <si>
    <t>meses inventario</t>
  </si>
  <si>
    <t>bultos despachados mes</t>
  </si>
  <si>
    <t>cubicaje inventario</t>
  </si>
  <si>
    <t>costo mantener inventario</t>
  </si>
  <si>
    <t xml:space="preserve">factor escazes </t>
  </si>
  <si>
    <t>EVAI</t>
  </si>
  <si>
    <t xml:space="preserve">Mascotas       </t>
  </si>
  <si>
    <t>A</t>
  </si>
  <si>
    <t xml:space="preserve">Alimentos Secos </t>
  </si>
  <si>
    <t xml:space="preserve">CACHORRO MEXICO 5X 8.8 LB     </t>
  </si>
  <si>
    <t>Flemming</t>
  </si>
  <si>
    <t>USA</t>
  </si>
  <si>
    <t xml:space="preserve">34-069547      </t>
  </si>
  <si>
    <t xml:space="preserve">Junior Biscrok BR 24*300g     </t>
  </si>
  <si>
    <t xml:space="preserve">Hogar          </t>
  </si>
  <si>
    <t>Vasos</t>
  </si>
  <si>
    <t xml:space="preserve">VASO 7 oz.NEON VERDE 60X15*   </t>
  </si>
  <si>
    <t xml:space="preserve">46-020023      </t>
  </si>
  <si>
    <t xml:space="preserve">Alimentos      </t>
  </si>
  <si>
    <t>Harinas y Pastas</t>
  </si>
  <si>
    <t xml:space="preserve">HARINA G.MILLS DURA 25 LBS    </t>
  </si>
  <si>
    <t xml:space="preserve">77-000575      </t>
  </si>
  <si>
    <t xml:space="preserve">VASO 12 oz. KRISTALL 60X15*   </t>
  </si>
  <si>
    <t xml:space="preserve">46-020021      </t>
  </si>
  <si>
    <t xml:space="preserve">HARINA G.MILLS SUAVE 25 LBS   </t>
  </si>
  <si>
    <t xml:space="preserve">47-009786      </t>
  </si>
  <si>
    <t xml:space="preserve">Bebidas        </t>
  </si>
  <si>
    <t>Jugos</t>
  </si>
  <si>
    <t>ZUKO NARANJA PIÑA 35 GR 8 X 12</t>
  </si>
  <si>
    <t xml:space="preserve">77-001176      </t>
  </si>
  <si>
    <t>VASO 12 oz.NEON AMARILLO 60X15</t>
  </si>
  <si>
    <t xml:space="preserve">26-808004      </t>
  </si>
  <si>
    <t xml:space="preserve">Agua Embasada                   </t>
  </si>
  <si>
    <t xml:space="preserve">AGUA PURISSIMA 2 x 5 LITROS   </t>
  </si>
  <si>
    <t>Dipo</t>
  </si>
  <si>
    <t xml:space="preserve">34-029215      </t>
  </si>
  <si>
    <t xml:space="preserve">CACHORRO MEXICO 1 X 17.6LB    </t>
  </si>
  <si>
    <t xml:space="preserve">47-709731      </t>
  </si>
  <si>
    <t xml:space="preserve">ZUKO FRESA 12X35GRM.          </t>
  </si>
  <si>
    <t>China</t>
  </si>
  <si>
    <t xml:space="preserve">34-067284      </t>
  </si>
  <si>
    <t xml:space="preserve">Alimentos Preparados  </t>
  </si>
  <si>
    <t xml:space="preserve">Pedigree Lta Pollo BR 24*330g </t>
  </si>
  <si>
    <t xml:space="preserve">46-000039      </t>
  </si>
  <si>
    <t xml:space="preserve">HARINA LA PREFERIDA 24X24 ONZ </t>
  </si>
  <si>
    <t xml:space="preserve">46-000171      </t>
  </si>
  <si>
    <t xml:space="preserve">HARINA G/MILLS 24X1 LBS.      </t>
  </si>
  <si>
    <t xml:space="preserve">77-002753      </t>
  </si>
  <si>
    <t xml:space="preserve">Platos            </t>
  </si>
  <si>
    <t>PLATO #6 CAMPE BLAN/BOWL 40X25</t>
  </si>
  <si>
    <t xml:space="preserve">47-709526      </t>
  </si>
  <si>
    <t xml:space="preserve">ZUKO PINA 12X35GR.            </t>
  </si>
  <si>
    <t xml:space="preserve">77-001398      </t>
  </si>
  <si>
    <t>PLATO #9 CAMPE BLAN. C/D 40X25</t>
  </si>
  <si>
    <t xml:space="preserve">75-033148      </t>
  </si>
  <si>
    <t xml:space="preserve">Productos de Limpieza           </t>
  </si>
  <si>
    <t>BRILLO DESGRAS. ORANG 12X32 oz</t>
  </si>
  <si>
    <t xml:space="preserve">34-069790      </t>
  </si>
  <si>
    <t xml:space="preserve">Maxi Biscrok BR 12*1000g      </t>
  </si>
  <si>
    <t xml:space="preserve">34-076323      </t>
  </si>
  <si>
    <t xml:space="preserve">Whiskas Lta Atun BR 24*340g   </t>
  </si>
  <si>
    <t xml:space="preserve">77-000544      </t>
  </si>
  <si>
    <t xml:space="preserve">VASO 7 oz. KRISTALL 60X15*    </t>
  </si>
  <si>
    <t xml:space="preserve">34-067291      </t>
  </si>
  <si>
    <t xml:space="preserve">Pedig.Lta Car-Veg BR 24*330g  </t>
  </si>
  <si>
    <t xml:space="preserve">77-001213      </t>
  </si>
  <si>
    <t xml:space="preserve">Plato # 8 Campestre Celeste   </t>
  </si>
  <si>
    <t xml:space="preserve">46-020036      </t>
  </si>
  <si>
    <t>HARINA G.MILLS FRANCES 100 LBS</t>
  </si>
  <si>
    <t xml:space="preserve">47-702787      </t>
  </si>
  <si>
    <t xml:space="preserve">ZUKO TAMARINDO 35 GR 8X12*    </t>
  </si>
  <si>
    <t xml:space="preserve">47-009816      </t>
  </si>
  <si>
    <t xml:space="preserve">ZUKO FRESA TORONJA 35GR 8X12  </t>
  </si>
  <si>
    <t xml:space="preserve">46-001400      </t>
  </si>
  <si>
    <t xml:space="preserve">HARINA PREFERIDA 24X14OZ      </t>
  </si>
  <si>
    <t xml:space="preserve">77-144040      </t>
  </si>
  <si>
    <t>VASO 10 oz.CAMPES BLANCO 40X25</t>
  </si>
  <si>
    <t xml:space="preserve">77-001626      </t>
  </si>
  <si>
    <t>PLATO #6 CAMPEST.CELEST 40X25*</t>
  </si>
  <si>
    <t>Mexico</t>
  </si>
  <si>
    <t xml:space="preserve">34-041049      </t>
  </si>
  <si>
    <t xml:space="preserve">CACHORRO MEXICO 10X 4.4 LB    </t>
  </si>
  <si>
    <t xml:space="preserve">47-709779      </t>
  </si>
  <si>
    <t xml:space="preserve">ZUKO LIMON 12X35GRM.          </t>
  </si>
  <si>
    <t xml:space="preserve">47-709694      </t>
  </si>
  <si>
    <t xml:space="preserve">ZUKO MANGO 35 GR 8X12*        </t>
  </si>
  <si>
    <t>Cosntela</t>
  </si>
  <si>
    <t xml:space="preserve">34-053043      </t>
  </si>
  <si>
    <t>CACHORRO PUPPY 1 LIBRA (500gr)</t>
  </si>
  <si>
    <t xml:space="preserve">77-143036      </t>
  </si>
  <si>
    <t>VASO 8 oz.CAMPES BLANCO 40X25*</t>
  </si>
  <si>
    <t xml:space="preserve">77-001053      </t>
  </si>
  <si>
    <t xml:space="preserve">VASO 7 oz.NEON ROJO 60X15*    </t>
  </si>
  <si>
    <t xml:space="preserve">26-808059      </t>
  </si>
  <si>
    <t xml:space="preserve">AGUA PURISSIMA 4 X 1 GALON    </t>
  </si>
  <si>
    <t>B</t>
  </si>
  <si>
    <t xml:space="preserve">Mariscos                        </t>
  </si>
  <si>
    <t xml:space="preserve">ATUN EN ACEITE AHUMADO        </t>
  </si>
  <si>
    <t xml:space="preserve">46-000011      </t>
  </si>
  <si>
    <t xml:space="preserve">HARINA GOLD MILLS 20x11 ONZ   </t>
  </si>
  <si>
    <t xml:space="preserve">77-000599      </t>
  </si>
  <si>
    <t xml:space="preserve">VASO 16 oz. KRISTALL 50X15*   </t>
  </si>
  <si>
    <t xml:space="preserve">47-709670      </t>
  </si>
  <si>
    <t xml:space="preserve">ZUKO MARACUYA 12X35GRM.       </t>
  </si>
  <si>
    <t xml:space="preserve">77-001077      </t>
  </si>
  <si>
    <t>VASO 7 oz.NEON AMARILLO 60X15*</t>
  </si>
  <si>
    <t xml:space="preserve">46-020005      </t>
  </si>
  <si>
    <t xml:space="preserve">HARINA G.MILLS SUAVE 100 LBS  </t>
  </si>
  <si>
    <t xml:space="preserve">47-070980      </t>
  </si>
  <si>
    <t>ZUKO MIX NARANJA/FRESA 12X35GR</t>
  </si>
  <si>
    <t xml:space="preserve">34-076347      </t>
  </si>
  <si>
    <t>Whiskas Lta Pescado BR 24*340g</t>
  </si>
  <si>
    <t xml:space="preserve">77-001206      </t>
  </si>
  <si>
    <t xml:space="preserve">Plato # 8 Campestre Rosado    </t>
  </si>
  <si>
    <t>Guantemala</t>
  </si>
  <si>
    <t xml:space="preserve">46-020017      </t>
  </si>
  <si>
    <t>HARINA G.MILLS SEMIDURA 25 LBS</t>
  </si>
  <si>
    <t xml:space="preserve">34-067147      </t>
  </si>
  <si>
    <t>Pedigree Lta Junior BR 24*330g</t>
  </si>
  <si>
    <t xml:space="preserve">46-020020      </t>
  </si>
  <si>
    <t xml:space="preserve">HARINA G.MILLS DURA 100 LBS   </t>
  </si>
  <si>
    <t xml:space="preserve">77-000766      </t>
  </si>
  <si>
    <t>PLATO #7 CAMPEST BLANCO 40X25*</t>
  </si>
  <si>
    <t xml:space="preserve">47-709687      </t>
  </si>
  <si>
    <t xml:space="preserve">ZUKO TORONJA 12X35 GR         </t>
  </si>
  <si>
    <t xml:space="preserve">77-001633      </t>
  </si>
  <si>
    <t xml:space="preserve">PLATO #6 PICNIC BLANCO 40X25* </t>
  </si>
  <si>
    <t xml:space="preserve">77-001374      </t>
  </si>
  <si>
    <t xml:space="preserve">PLATO #6 CAMPEST.BLAN. 40X25* </t>
  </si>
  <si>
    <t xml:space="preserve">77-000568      </t>
  </si>
  <si>
    <t xml:space="preserve">VASO 10 oz.KRISTALL 60X15*    </t>
  </si>
  <si>
    <t>Malone &amp; Hide</t>
  </si>
  <si>
    <t xml:space="preserve">28-260008      </t>
  </si>
  <si>
    <t>ATUN CON VEGETALES 48/165 GRS.</t>
  </si>
  <si>
    <t xml:space="preserve">34-067277      </t>
  </si>
  <si>
    <t xml:space="preserve">Pedigree Lta Carne BR 24*330g </t>
  </si>
  <si>
    <t xml:space="preserve">77-000537      </t>
  </si>
  <si>
    <t xml:space="preserve">VASO 5 oz. KRISTALL 40X25*    </t>
  </si>
  <si>
    <t xml:space="preserve">26-808028      </t>
  </si>
  <si>
    <t>C</t>
  </si>
  <si>
    <t xml:space="preserve">AGUA PURISSIMA 12 X 1 LITRO   </t>
  </si>
  <si>
    <t xml:space="preserve">28-260017      </t>
  </si>
  <si>
    <t xml:space="preserve">ATUN TROCI. ACEITE 48/165 GR  </t>
  </si>
  <si>
    <t xml:space="preserve">77-000551      </t>
  </si>
  <si>
    <t xml:space="preserve">VASO 8 oz. KRISTALL 60X15*    </t>
  </si>
  <si>
    <t xml:space="preserve">77-001145      </t>
  </si>
  <si>
    <t xml:space="preserve">VASO 12 oz.NEON VERDE 60X15*  </t>
  </si>
  <si>
    <t>Chile</t>
  </si>
  <si>
    <t xml:space="preserve">28-260021      </t>
  </si>
  <si>
    <t>ATUN CHILE JALAPEÑO 48/170 GRS</t>
  </si>
  <si>
    <t xml:space="preserve">26-808073      </t>
  </si>
  <si>
    <t xml:space="preserve">AGUA LIQUIDA GARRAFON         </t>
  </si>
  <si>
    <t xml:space="preserve">77-000728      </t>
  </si>
  <si>
    <t>VASO 14 oz.CAMPES BLANCO 50X15</t>
  </si>
  <si>
    <t xml:space="preserve">47-709632      </t>
  </si>
  <si>
    <t xml:space="preserve">ZUKO PERA 35 GR 8X12*         </t>
  </si>
  <si>
    <t xml:space="preserve">75-032233      </t>
  </si>
  <si>
    <t xml:space="preserve">BRILLO T/USO LEMON 18X28 oz   </t>
  </si>
  <si>
    <t xml:space="preserve">77-001169      </t>
  </si>
  <si>
    <t>VASO 12 oz.NEON NARANJA 60X15*</t>
  </si>
  <si>
    <t xml:space="preserve">77-000773      </t>
  </si>
  <si>
    <t>PLATO #8 CAMPEST BLANCO 40X25*</t>
  </si>
  <si>
    <t xml:space="preserve">77-001138      </t>
  </si>
  <si>
    <t xml:space="preserve">VASO 12 oz.NEON AZUL 60X15*   </t>
  </si>
  <si>
    <t xml:space="preserve">47-709592      </t>
  </si>
  <si>
    <t xml:space="preserve">ZUKO MANDARINA 12X35GRM.      </t>
  </si>
  <si>
    <t xml:space="preserve">46-020027      </t>
  </si>
  <si>
    <t xml:space="preserve">HARINA INTEGRAL 25LBS         </t>
  </si>
  <si>
    <t xml:space="preserve">46-020022      </t>
  </si>
  <si>
    <t xml:space="preserve">HARINA GOLD MILLS DURA 50 LBS </t>
  </si>
  <si>
    <t xml:space="preserve">28-260004      </t>
  </si>
  <si>
    <t>ATUN TROZO AGUA (LIGHT)48/170G</t>
  </si>
  <si>
    <t xml:space="preserve">34-069776      </t>
  </si>
  <si>
    <t xml:space="preserve">Mini Biscrok BR 10*1000g      </t>
  </si>
  <si>
    <t xml:space="preserve">28-600912      </t>
  </si>
  <si>
    <t xml:space="preserve">PATE DE ATUN SARDIMAR 24X110G </t>
  </si>
  <si>
    <t xml:space="preserve">46-000195      </t>
  </si>
  <si>
    <t xml:space="preserve">HARINA G/MILLS 9X5 LB         </t>
  </si>
  <si>
    <t xml:space="preserve">47-700280      </t>
  </si>
  <si>
    <t>ZUKO NARANJA DURAZNO 12/35GRM.</t>
  </si>
  <si>
    <t>Distrbuidora RS</t>
  </si>
  <si>
    <t xml:space="preserve">77-000582      </t>
  </si>
  <si>
    <t>C-</t>
  </si>
  <si>
    <t xml:space="preserve">VASO 14 oz. KRISTALL 50X15*   </t>
  </si>
  <si>
    <t xml:space="preserve">77-001060      </t>
  </si>
  <si>
    <t xml:space="preserve">VASO 7 oz.NEON NARANJA 60X15* </t>
  </si>
  <si>
    <t>Colombia</t>
  </si>
  <si>
    <t xml:space="preserve">69-000014      </t>
  </si>
  <si>
    <t xml:space="preserve">CLORO3 8 onz X 48             </t>
  </si>
  <si>
    <t xml:space="preserve">47-702794      </t>
  </si>
  <si>
    <t xml:space="preserve">ZUKO FRUIT PUNCH 35 GR 8X12*  </t>
  </si>
  <si>
    <t>28-600349</t>
  </si>
  <si>
    <t xml:space="preserve">ATUN CON OREGANO X 48         </t>
  </si>
  <si>
    <t xml:space="preserve">47-709700      </t>
  </si>
  <si>
    <t xml:space="preserve">ZUKO MELON 35 GR 8X12*        </t>
  </si>
  <si>
    <t xml:space="preserve">47-709519      </t>
  </si>
  <si>
    <t xml:space="preserve">ZUKO NARANJA 12X35GRM.        </t>
  </si>
  <si>
    <t xml:space="preserve">34-029321      </t>
  </si>
  <si>
    <t xml:space="preserve">WHISKAS MARISCOS MEX.12X1.5KG </t>
  </si>
  <si>
    <t xml:space="preserve">26-808066      </t>
  </si>
  <si>
    <t xml:space="preserve">DISPENSADOR SIN BASE 3H         </t>
  </si>
  <si>
    <t xml:space="preserve">77-001381      </t>
  </si>
  <si>
    <t>PLATO #9 CAMPE BLAN S/D 40X25*</t>
  </si>
  <si>
    <t xml:space="preserve">77-001619      </t>
  </si>
  <si>
    <t xml:space="preserve">Plato # 6 Campestre Rosado    </t>
  </si>
  <si>
    <t xml:space="preserve">77-142022      </t>
  </si>
  <si>
    <t>VASO 7oz. CAMPES BLANCO 40X25*</t>
  </si>
  <si>
    <t>Costa Rica</t>
  </si>
  <si>
    <t xml:space="preserve">28-260030      </t>
  </si>
  <si>
    <t xml:space="preserve">34-076286      </t>
  </si>
  <si>
    <t xml:space="preserve">Whiskas Lta Pavo BR 24*340g   </t>
  </si>
  <si>
    <t xml:space="preserve">46-000188      </t>
  </si>
  <si>
    <t xml:space="preserve">HARINA G/MILLS 20X2 LB        </t>
  </si>
  <si>
    <t xml:space="preserve">DISP.ELECTRICO DE AGUA FRIA   </t>
  </si>
  <si>
    <t xml:space="preserve">Whiskas Lta Pollo BR 24*340g  </t>
  </si>
  <si>
    <t xml:space="preserve">34-076132      </t>
  </si>
  <si>
    <t xml:space="preserve">Whiskas Lta Carne BR 24*340g  </t>
  </si>
  <si>
    <t xml:space="preserve">34-029307      </t>
  </si>
  <si>
    <t xml:space="preserve">WHISKAS POLLO MEX.12X1.5KG    </t>
  </si>
  <si>
    <t xml:space="preserve">46-020016      </t>
  </si>
  <si>
    <t>HARINA G.MILLS SEMIDURA 50 LBS</t>
  </si>
  <si>
    <t xml:space="preserve">DISPENSADOR CON BASE          </t>
  </si>
  <si>
    <t xml:space="preserve">ATUN EN ESCABECHE X 48        </t>
  </si>
  <si>
    <t xml:space="preserve">BOMBITA MANUAL                </t>
  </si>
  <si>
    <t>Parámetros Almacenaje</t>
  </si>
  <si>
    <t>Datos</t>
  </si>
  <si>
    <t>Numero de Personas Almacén</t>
  </si>
  <si>
    <t>Metros Cuadrados del Almacén</t>
  </si>
  <si>
    <t>Numero de Equipos</t>
  </si>
  <si>
    <t>Numero de Posiciones</t>
  </si>
  <si>
    <t>-</t>
  </si>
  <si>
    <t>Costos y Gastos</t>
  </si>
  <si>
    <t>Costo Mano de Obra</t>
  </si>
  <si>
    <t>Alquiler de Espacio</t>
  </si>
  <si>
    <t>Costo Suministro de Oficina</t>
  </si>
  <si>
    <t>Costo de Energía ( Agua, luz, etc)</t>
  </si>
  <si>
    <t>Otros Gastos</t>
  </si>
  <si>
    <t>Inversiones</t>
  </si>
  <si>
    <t>Inversión en Terreno y Edificio</t>
  </si>
  <si>
    <t>Sistema de Manejo de Materiales(Montacargas, elevadores, carretillas, etc.)</t>
  </si>
  <si>
    <t xml:space="preserve">Sistemas de Almacenaje de Materiales (Racks, bandas transportadoras, etc.) </t>
  </si>
  <si>
    <t>Sistema de Administración de Almacén WMS -(Licencias, mantenimiento, etc)</t>
  </si>
  <si>
    <t>Otras Inversiones</t>
  </si>
  <si>
    <t>Parámetros Inventario</t>
  </si>
  <si>
    <t>Número de Personas (Encargados y Planeadores)</t>
  </si>
  <si>
    <t>Número de SKU's</t>
  </si>
  <si>
    <t>Número de Proveedores</t>
  </si>
  <si>
    <t>Metros Cuadrados de Oficinas Inventarios</t>
  </si>
  <si>
    <t>Numero de Equipos ( fax, computadoras, etc)</t>
  </si>
  <si>
    <t>Costos de Mano de Obra</t>
  </si>
  <si>
    <t>Costos de Energía</t>
  </si>
  <si>
    <t>Costo de Espacio de Oficina</t>
  </si>
  <si>
    <t>Seguros de Invetarios</t>
  </si>
  <si>
    <t>Inventory Investment</t>
  </si>
  <si>
    <t>Hardware Investment  (fax,phones, TV, Computers, etc)</t>
  </si>
  <si>
    <t>Inventory Management System</t>
  </si>
  <si>
    <t xml:space="preserve">Servicos de terceros (3PL) </t>
  </si>
  <si>
    <t>Seguros de inventarios</t>
  </si>
  <si>
    <t>Numero horas trabajas al ano FTE</t>
  </si>
  <si>
    <t xml:space="preserve">Costo de Capital </t>
  </si>
  <si>
    <t>pronostico</t>
  </si>
  <si>
    <t>desviacion standart</t>
  </si>
  <si>
    <t>stock seguridad k</t>
  </si>
  <si>
    <t>pronostico ajustado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</si>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</sst>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1" applyFont="1"/>
    <xf numFmtId="0" fontId="3" fillId="0" borderId="0" xfId="0" applyFont="1"/>
    <xf numFmtId="0" fontId="0" fillId="2" borderId="0" xfId="0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6"/>
  <sheetViews>
    <sheetView tabSelected="1" workbookViewId="0">
      <selection activeCell="AW1" sqref="AW1:AW18"/>
    </sheetView>
  </sheetViews>
  <sheetFormatPr defaultColWidth="13.796875" defaultRowHeight="14.4" x14ac:dyDescent="0.3"/>
  <cols>
    <col min="23" max="23" width="13.09765625" customWidth="1"/>
    <col min="24" max="26" width="17" customWidth="1"/>
    <col min="29" max="29" width="16.8984375" bestFit="1" customWidth="1"/>
    <col min="30" max="30" width="16.199218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4" t="s">
        <v>298</v>
      </c>
      <c r="X1" s="4" t="s">
        <v>299</v>
      </c>
      <c r="Y1" s="4" t="s">
        <v>300</v>
      </c>
      <c r="Z1" s="4" t="s">
        <v>301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inlineStr">
        <is>
          <t>fill rate deseado</t>
        </is>
      </c>
    </row>
    <row r="2" spans="1:49" x14ac:dyDescent="0.3">
      <c r="A2">
        <v>34041032</v>
      </c>
      <c r="B2" t="s">
        <v>44</v>
      </c>
      <c r="C2" t="s">
        <v>302</v>
      </c>
      <c r="D2" t="s">
        <v>46</v>
      </c>
      <c r="E2" t="s">
        <v>47</v>
      </c>
      <c r="F2" t="s">
        <v>48</v>
      </c>
      <c r="G2" t="s">
        <v>49</v>
      </c>
      <c r="H2">
        <v>6</v>
      </c>
      <c r="I2">
        <v>24</v>
      </c>
      <c r="J2">
        <v>28.08893093661306</v>
      </c>
      <c r="K2">
        <v>89.190820441581309</v>
      </c>
      <c r="L2">
        <v>138.7919329921715</v>
      </c>
      <c r="M2">
        <v>143.80460167230919</v>
      </c>
      <c r="N2">
        <v>141.85131400736279</v>
      </c>
      <c r="O2">
        <v>142.77156348398421</v>
      </c>
      <c r="P2">
        <v>170.79063960991331</v>
      </c>
      <c r="Q2">
        <v>146.87206582166249</v>
      </c>
      <c r="R2">
        <v>179.42158516816559</v>
      </c>
      <c r="S2">
        <v>148.77531990932769</v>
      </c>
      <c r="T2">
        <v>210.80917955841869</v>
      </c>
      <c r="U2">
        <v>137.8561652622011</v>
      </c>
      <c r="V2">
        <v>168.41508492361751</v>
      </c>
      <c r="W2" s="6">
        <v>232.11964947684825</v>
      </c>
      <c r="X2" s="6">
        <f>_xlfn.STDEV.S(K2:V2)</f>
        <v>29.298956301885966</v>
      </c>
      <c r="Y2" s="5">
        <v>0.8</v>
      </c>
      <c r="Z2" s="6">
        <f>W2</f>
        <v>232.11964947684825</v>
      </c>
      <c r="AA2" s="6">
        <v>21.51402325510422</v>
      </c>
      <c r="AB2" s="6">
        <v>21.51402325510422</v>
      </c>
      <c r="AC2">
        <v>352.30262153996392</v>
      </c>
      <c r="AD2">
        <v>352.30262153996392</v>
      </c>
      <c r="AE2">
        <v>283.6042376147816</v>
      </c>
      <c r="AF2">
        <v>133</v>
      </c>
      <c r="AG2">
        <v>32.327341532639551</v>
      </c>
      <c r="AH2">
        <v>0</v>
      </c>
      <c r="AI2">
        <v>1819.350272850716</v>
      </c>
      <c r="AJ2">
        <v>303.22504547511932</v>
      </c>
      <c r="AK2">
        <v>0.75693728170947705</v>
      </c>
      <c r="AL2">
        <v>40328.931048190861</v>
      </c>
      <c r="AM2">
        <v>9802.4596063243389</v>
      </c>
      <c r="AN2">
        <v>30526.471441866521</v>
      </c>
      <c r="AO2">
        <v>11389.00716936667</v>
      </c>
      <c r="AP2">
        <v>0.86069483147664427</v>
      </c>
      <c r="AQ2">
        <v>13.942223841883999</v>
      </c>
      <c r="AR2">
        <v>151.6125227375596</v>
      </c>
      <c r="AS2">
        <v>412.32516688432389</v>
      </c>
      <c r="AT2">
        <v>0.4</v>
      </c>
      <c r="AU2">
        <v>1.5</v>
      </c>
      <c r="AW2" s="7">
        <v>0.997</v>
      </c>
    </row>
    <row r="3" spans="1:49" x14ac:dyDescent="0.3">
      <c r="A3" t="s">
        <v>50</v>
      </c>
      <c r="B3" t="s">
        <v>44</v>
      </c>
      <c r="C3" t="s">
        <v>302</v>
      </c>
      <c r="D3" t="s">
        <v>46</v>
      </c>
      <c r="E3" t="s">
        <v>51</v>
      </c>
      <c r="F3" t="s">
        <v>48</v>
      </c>
      <c r="G3" t="s">
        <v>49</v>
      </c>
      <c r="H3">
        <v>6</v>
      </c>
      <c r="I3">
        <v>24</v>
      </c>
      <c r="J3">
        <v>73.378398998992893</v>
      </c>
      <c r="K3">
        <v>183.06465714558729</v>
      </c>
      <c r="L3">
        <v>106.39241205935831</v>
      </c>
      <c r="M3">
        <v>175.45989445934541</v>
      </c>
      <c r="N3">
        <v>171.26887466147309</v>
      </c>
      <c r="O3">
        <v>136.6124539948942</v>
      </c>
      <c r="P3">
        <v>119.61287251906469</v>
      </c>
      <c r="Q3">
        <v>79.837576928548515</v>
      </c>
      <c r="R3">
        <v>120.68960055912611</v>
      </c>
      <c r="S3">
        <v>182.35361418774119</v>
      </c>
      <c r="T3">
        <v>183.26765636302301</v>
      </c>
      <c r="U3">
        <v>139.18473238518351</v>
      </c>
      <c r="V3">
        <v>147.7200786815956</v>
      </c>
      <c r="W3" s="6">
        <v>239.9456058938427</v>
      </c>
      <c r="X3" s="6">
        <f t="shared" ref="X3:X4" si="1">_xlfn.STDEV.S(K3:V3)</f>
        <v>34.387829298313072</v>
      </c>
      <c r="Y3" s="5">
        <v>0.8</v>
      </c>
      <c r="Z3" s="6">
        <f>W3</f>
        <v>239.9456058938427</v>
      </c>
      <c r="AA3" s="6">
        <v>83.437299722281566</v>
      </c>
      <c r="AB3" s="6">
        <v>83.437299722281566</v>
      </c>
      <c r="AC3">
        <v>841.25797296060057</v>
      </c>
      <c r="AD3">
        <v>841.25797296060057</v>
      </c>
      <c r="AE3">
        <v>27.19926391728222</v>
      </c>
      <c r="AF3">
        <v>134</v>
      </c>
      <c r="AG3">
        <v>80.414746543778804</v>
      </c>
      <c r="AH3">
        <v>0</v>
      </c>
      <c r="AI3">
        <v>1745.464423944941</v>
      </c>
      <c r="AJ3">
        <v>290.9107373241568</v>
      </c>
      <c r="AK3">
        <v>0.39988995116582982</v>
      </c>
      <c r="AL3">
        <v>38982.038801437011</v>
      </c>
      <c r="AM3">
        <v>23393.51320878588</v>
      </c>
      <c r="AN3">
        <v>15588.525592651131</v>
      </c>
      <c r="AO3">
        <v>67649.546673559817</v>
      </c>
      <c r="AP3">
        <v>0.34580443416229151</v>
      </c>
      <c r="AQ3">
        <v>34.701694988584833</v>
      </c>
      <c r="AR3">
        <v>145.4553686620784</v>
      </c>
      <c r="AS3">
        <v>2572.090133374455</v>
      </c>
      <c r="AT3">
        <v>0.4</v>
      </c>
      <c r="AU3">
        <v>1.5</v>
      </c>
      <c r="AW3" s="7">
        <v>0.997</v>
      </c>
    </row>
    <row r="4" spans="1:49" x14ac:dyDescent="0.3">
      <c r="A4">
        <v>77001046</v>
      </c>
      <c r="B4" t="s">
        <v>52</v>
      </c>
      <c r="C4" t="s">
        <v>302</v>
      </c>
      <c r="D4" t="s">
        <v>53</v>
      </c>
      <c r="E4" t="s">
        <v>54</v>
      </c>
      <c r="F4" t="s">
        <v>48</v>
      </c>
      <c r="G4" t="s">
        <v>49</v>
      </c>
      <c r="H4">
        <v>6</v>
      </c>
      <c r="I4">
        <v>24</v>
      </c>
      <c r="J4">
        <v>29.80773339030122</v>
      </c>
      <c r="K4">
        <v>147.77758148411519</v>
      </c>
      <c r="L4">
        <v>124.3587295597536</v>
      </c>
      <c r="M4">
        <v>130.83656009839609</v>
      </c>
      <c r="N4">
        <v>197.3239197162911</v>
      </c>
      <c r="O4">
        <v>200.7609911437612</v>
      </c>
      <c r="P4">
        <v>124.4248270872049</v>
      </c>
      <c r="Q4">
        <v>175.28267941670489</v>
      </c>
      <c r="R4">
        <v>67.436070973053575</v>
      </c>
      <c r="S4">
        <v>180.6644096781383</v>
      </c>
      <c r="T4">
        <v>221.621616370976</v>
      </c>
      <c r="U4">
        <v>195.98600753524809</v>
      </c>
      <c r="V4">
        <v>128.36066540912731</v>
      </c>
      <c r="W4" s="6">
        <v>280.39424132948034</v>
      </c>
      <c r="X4" s="6">
        <f t="shared" si="1"/>
        <v>44.578292790050156</v>
      </c>
      <c r="Y4" s="5">
        <v>0.8</v>
      </c>
      <c r="Z4" s="6">
        <f>W4</f>
        <v>280.39424132948034</v>
      </c>
      <c r="AA4" s="6">
        <v>65.184789574877158</v>
      </c>
      <c r="AB4" s="6">
        <v>65.184789574877158</v>
      </c>
      <c r="AC4">
        <v>785.25040437025052</v>
      </c>
      <c r="AD4">
        <v>785.25040437025052</v>
      </c>
      <c r="AE4">
        <v>42.345079185906798</v>
      </c>
      <c r="AF4">
        <v>123</v>
      </c>
      <c r="AG4">
        <v>86.953032013916442</v>
      </c>
      <c r="AH4">
        <v>0</v>
      </c>
      <c r="AI4">
        <v>1894.83405847277</v>
      </c>
      <c r="AJ4">
        <v>315.80567641212838</v>
      </c>
      <c r="AK4">
        <v>0.2930647803746631</v>
      </c>
      <c r="AL4">
        <v>38844.09819869179</v>
      </c>
      <c r="AM4">
        <v>27460.26109124034</v>
      </c>
      <c r="AN4">
        <v>11383.837107451451</v>
      </c>
      <c r="AO4">
        <v>68279.903550147224</v>
      </c>
      <c r="AP4">
        <v>0.40217193732666201</v>
      </c>
      <c r="AQ4">
        <v>29.83798441971615</v>
      </c>
      <c r="AR4">
        <v>157.90283820606419</v>
      </c>
      <c r="AS4">
        <v>975.27227908727718</v>
      </c>
      <c r="AT4">
        <v>0.4</v>
      </c>
      <c r="AU4">
        <v>1.5</v>
      </c>
      <c r="AW4" s="7">
        <v>0.997</v>
      </c>
    </row>
    <row r="5" spans="1:49" x14ac:dyDescent="0.3">
      <c r="A5" t="s">
        <v>55</v>
      </c>
      <c r="B5" t="s">
        <v>56</v>
      </c>
      <c r="C5" t="s">
        <v>302</v>
      </c>
      <c r="D5" t="s">
        <v>57</v>
      </c>
      <c r="E5" t="s">
        <v>58</v>
      </c>
      <c r="F5" t="s">
        <v>48</v>
      </c>
      <c r="G5" t="s">
        <v>49</v>
      </c>
      <c r="H5">
        <v>6</v>
      </c>
      <c r="I5">
        <v>24</v>
      </c>
      <c r="J5">
        <v>21.482284005249181</v>
      </c>
      <c r="K5">
        <v>165.80078787810629</v>
      </c>
      <c r="L5">
        <v>155.5637201512582</v>
      </c>
      <c r="M5">
        <v>182.51834641559981</v>
      </c>
      <c r="N5">
        <v>118.2835550629534</v>
      </c>
      <c r="O5">
        <v>171.68401351809729</v>
      </c>
      <c r="P5">
        <v>129.88111317681609</v>
      </c>
      <c r="Q5">
        <v>202.60244506644091</v>
      </c>
      <c r="R5">
        <v>126.5557049613562</v>
      </c>
      <c r="S5">
        <v>116.96058133238689</v>
      </c>
      <c r="T5">
        <v>133.33844359876821</v>
      </c>
      <c r="U5">
        <v>163.58048393740319</v>
      </c>
      <c r="V5">
        <v>171.38415311492281</v>
      </c>
      <c r="W5" s="6">
        <v>229.22550358106025</v>
      </c>
      <c r="X5" s="6">
        <f t="shared" ref="X5:X68" si="4">_xlfn.STDEV.S(K5:V5)</f>
        <v>27.675439647188618</v>
      </c>
      <c r="Y5" s="5">
        <v>0.8</v>
      </c>
      <c r="Z5" s="6">
        <f>W5</f>
        <v>229.22550358106025</v>
      </c>
      <c r="AA5" s="6">
        <v>85.734733115634626</v>
      </c>
      <c r="AB5" s="6">
        <v>85.734733115634626</v>
      </c>
      <c r="AC5">
        <v>356.89260536515388</v>
      </c>
      <c r="AD5">
        <v>356.89260536515388</v>
      </c>
      <c r="AE5">
        <v>364.82575246191118</v>
      </c>
      <c r="AF5">
        <v>120</v>
      </c>
      <c r="AG5">
        <v>74.525894955290383</v>
      </c>
      <c r="AH5">
        <v>0</v>
      </c>
      <c r="AI5">
        <v>1838.153348214109</v>
      </c>
      <c r="AJ5">
        <v>306.35889136901818</v>
      </c>
      <c r="AK5">
        <v>0.37895087537258021</v>
      </c>
      <c r="AL5">
        <v>36763.066964282189</v>
      </c>
      <c r="AM5">
        <v>22831.67055678667</v>
      </c>
      <c r="AN5">
        <v>13931.39640749552</v>
      </c>
      <c r="AO5">
        <v>26597.74081776337</v>
      </c>
      <c r="AP5">
        <v>0.85840638546032011</v>
      </c>
      <c r="AQ5">
        <v>13.97939274830185</v>
      </c>
      <c r="AR5">
        <v>153.17944568450909</v>
      </c>
      <c r="AS5">
        <v>319.45284615948151</v>
      </c>
      <c r="AT5">
        <v>0.4</v>
      </c>
      <c r="AU5">
        <v>1.5</v>
      </c>
      <c r="AW5" s="7">
        <v>0.997</v>
      </c>
    </row>
    <row r="6" spans="1:49" x14ac:dyDescent="0.3">
      <c r="A6" t="s">
        <v>59</v>
      </c>
      <c r="B6" t="s">
        <v>52</v>
      </c>
      <c r="C6" t="s">
        <v>302</v>
      </c>
      <c r="D6" t="s">
        <v>53</v>
      </c>
      <c r="E6" t="s">
        <v>60</v>
      </c>
      <c r="F6" t="s">
        <v>48</v>
      </c>
      <c r="G6" t="s">
        <v>49</v>
      </c>
      <c r="H6">
        <v>6</v>
      </c>
      <c r="I6">
        <v>24</v>
      </c>
      <c r="J6">
        <v>69.559923093356133</v>
      </c>
      <c r="K6">
        <v>159.2208438218222</v>
      </c>
      <c r="L6">
        <v>135.1302732167824</v>
      </c>
      <c r="M6">
        <v>147.83515249873739</v>
      </c>
      <c r="N6">
        <v>193.90008143673191</v>
      </c>
      <c r="O6">
        <v>138.4590579313226</v>
      </c>
      <c r="P6">
        <v>139.3168933340348</v>
      </c>
      <c r="Q6">
        <v>94.516821415163577</v>
      </c>
      <c r="R6">
        <v>176.35285909491361</v>
      </c>
      <c r="S6">
        <v>187.62477263080649</v>
      </c>
      <c r="T6">
        <v>150.0630961949355</v>
      </c>
      <c r="U6">
        <v>129.9012357470929</v>
      </c>
      <c r="V6">
        <v>138.1544908930664</v>
      </c>
      <c r="W6" s="6">
        <v>224.2772985482991</v>
      </c>
      <c r="X6" s="6">
        <f t="shared" si="4"/>
        <v>27.320586987499443</v>
      </c>
      <c r="Y6" s="5">
        <v>0.8</v>
      </c>
      <c r="Z6" s="6">
        <f>W6</f>
        <v>224.2772985482991</v>
      </c>
      <c r="AA6" s="6">
        <v>23.45744193853572</v>
      </c>
      <c r="AB6" s="6">
        <v>23.45744193853572</v>
      </c>
      <c r="AC6">
        <v>338.87447737052531</v>
      </c>
      <c r="AD6">
        <v>338.87447737052531</v>
      </c>
      <c r="AE6">
        <v>364.98877938720398</v>
      </c>
      <c r="AF6">
        <v>120</v>
      </c>
      <c r="AG6">
        <v>57.967772453993341</v>
      </c>
      <c r="AH6">
        <v>0</v>
      </c>
      <c r="AI6">
        <v>1790.47557821541</v>
      </c>
      <c r="AJ6">
        <v>298.41259636923502</v>
      </c>
      <c r="AK6">
        <v>0.51693522955005544</v>
      </c>
      <c r="AL6">
        <v>35809.511564308203</v>
      </c>
      <c r="AM6">
        <v>17298.313483737169</v>
      </c>
      <c r="AN6">
        <v>18511.198080571019</v>
      </c>
      <c r="AO6">
        <v>19643.79859468052</v>
      </c>
      <c r="AP6">
        <v>0.88059920795672886</v>
      </c>
      <c r="AQ6">
        <v>13.627084707291329</v>
      </c>
      <c r="AR6">
        <v>149.20629818461751</v>
      </c>
      <c r="AS6">
        <v>982.17010767479132</v>
      </c>
      <c r="AT6">
        <v>0.4</v>
      </c>
      <c r="AU6">
        <v>1.5</v>
      </c>
      <c r="AW6" s="7">
        <v>0.997</v>
      </c>
    </row>
    <row r="7" spans="1:49" x14ac:dyDescent="0.3">
      <c r="A7" t="s">
        <v>61</v>
      </c>
      <c r="B7" t="s">
        <v>56</v>
      </c>
      <c r="C7" t="s">
        <v>302</v>
      </c>
      <c r="D7" t="s">
        <v>57</v>
      </c>
      <c r="E7" t="s">
        <v>62</v>
      </c>
      <c r="F7" t="s">
        <v>48</v>
      </c>
      <c r="G7" t="s">
        <v>49</v>
      </c>
      <c r="H7">
        <v>6</v>
      </c>
      <c r="I7">
        <v>24</v>
      </c>
      <c r="J7">
        <v>32.19061861018708</v>
      </c>
      <c r="K7">
        <v>168.13053813748411</v>
      </c>
      <c r="L7">
        <v>122.1739641245222</v>
      </c>
      <c r="M7">
        <v>202.10777089814661</v>
      </c>
      <c r="N7">
        <v>130.94338025111941</v>
      </c>
      <c r="O7">
        <v>172.62759153381921</v>
      </c>
      <c r="P7">
        <v>138.46151356701739</v>
      </c>
      <c r="Q7">
        <v>160.87652208298101</v>
      </c>
      <c r="R7">
        <v>119.4359985369374</v>
      </c>
      <c r="S7">
        <v>160.30009570968099</v>
      </c>
      <c r="T7">
        <v>112.8886598657118</v>
      </c>
      <c r="U7">
        <v>152.96647613140519</v>
      </c>
      <c r="V7">
        <v>142.55874172376929</v>
      </c>
      <c r="W7" s="6">
        <v>219.90973247373853</v>
      </c>
      <c r="X7" s="6">
        <f t="shared" si="4"/>
        <v>25.943522461841468</v>
      </c>
      <c r="Y7" s="5">
        <v>0.8</v>
      </c>
      <c r="Z7" s="6">
        <f>W7</f>
        <v>219.90973247373853</v>
      </c>
      <c r="AA7" s="6">
        <v>58.177739799188203</v>
      </c>
      <c r="AB7" s="6">
        <v>58.177739799188203</v>
      </c>
      <c r="AC7">
        <v>423.64268929105498</v>
      </c>
      <c r="AD7">
        <v>423.64268929105498</v>
      </c>
      <c r="AE7">
        <v>367.78956832131371</v>
      </c>
      <c r="AF7">
        <v>120</v>
      </c>
      <c r="AG7">
        <v>80.299996948149058</v>
      </c>
      <c r="AH7">
        <v>0</v>
      </c>
      <c r="AI7">
        <v>1783.4712525625951</v>
      </c>
      <c r="AJ7">
        <v>297.24520876043238</v>
      </c>
      <c r="AK7">
        <v>0.33083335876542452</v>
      </c>
      <c r="AL7">
        <v>35669.425051251892</v>
      </c>
      <c r="AM7">
        <v>23868.78935631465</v>
      </c>
      <c r="AN7">
        <v>11800.63569493724</v>
      </c>
      <c r="AO7">
        <v>34018.506657177371</v>
      </c>
      <c r="AP7">
        <v>0.70164130356611976</v>
      </c>
      <c r="AQ7">
        <v>17.102755979457768</v>
      </c>
      <c r="AR7">
        <v>148.62260438021619</v>
      </c>
      <c r="AS7">
        <v>568.22167658176397</v>
      </c>
      <c r="AT7">
        <v>0.4</v>
      </c>
      <c r="AU7">
        <v>1.5</v>
      </c>
      <c r="AW7" s="7">
        <v>0.997</v>
      </c>
    </row>
    <row r="8" spans="1:49" x14ac:dyDescent="0.3">
      <c r="A8" t="s">
        <v>63</v>
      </c>
      <c r="B8" t="s">
        <v>64</v>
      </c>
      <c r="C8" t="s">
        <v>302</v>
      </c>
      <c r="D8" t="s">
        <v>65</v>
      </c>
      <c r="E8" t="s">
        <v>66</v>
      </c>
      <c r="F8" t="s">
        <v>48</v>
      </c>
      <c r="G8" t="s">
        <v>49</v>
      </c>
      <c r="H8">
        <v>6</v>
      </c>
      <c r="I8">
        <v>24</v>
      </c>
      <c r="J8">
        <v>43.050325022125918</v>
      </c>
      <c r="K8">
        <v>163.41288680123401</v>
      </c>
      <c r="L8">
        <v>167.8722530108644</v>
      </c>
      <c r="M8">
        <v>160.25872506943409</v>
      </c>
      <c r="N8">
        <v>185.08100689941779</v>
      </c>
      <c r="O8">
        <v>126.9091800772003</v>
      </c>
      <c r="P8">
        <v>147.84432702654161</v>
      </c>
      <c r="Q8">
        <v>183.6093307851115</v>
      </c>
      <c r="R8">
        <v>174.7336743086635</v>
      </c>
      <c r="S8">
        <v>147.18570506956891</v>
      </c>
      <c r="T8">
        <v>126.10141235782071</v>
      </c>
      <c r="U8">
        <v>193.0346744906274</v>
      </c>
      <c r="V8">
        <v>169.60456756933129</v>
      </c>
      <c r="W8" s="6">
        <v>221.66185300665364</v>
      </c>
      <c r="X8" s="6">
        <f t="shared" si="4"/>
        <v>21.662764500287683</v>
      </c>
      <c r="Y8" s="5">
        <v>0.8</v>
      </c>
      <c r="Z8" s="6">
        <f>W8</f>
        <v>221.66185300665364</v>
      </c>
      <c r="AA8" s="6">
        <v>10.0122074037904</v>
      </c>
      <c r="AB8" s="6">
        <v>10.0122074037904</v>
      </c>
      <c r="AC8">
        <v>740.1318399609363</v>
      </c>
      <c r="AD8">
        <v>740.1318399609363</v>
      </c>
      <c r="AE8">
        <v>373.6221578437835</v>
      </c>
      <c r="AF8">
        <v>104</v>
      </c>
      <c r="AG8">
        <v>77.611926633503217</v>
      </c>
      <c r="AH8">
        <v>0</v>
      </c>
      <c r="AI8">
        <v>1945.647743465815</v>
      </c>
      <c r="AJ8">
        <v>324.27462391096918</v>
      </c>
      <c r="AK8">
        <v>0.25373147467785367</v>
      </c>
      <c r="AL8">
        <v>33724.560886740801</v>
      </c>
      <c r="AM8">
        <v>25167.578320084991</v>
      </c>
      <c r="AN8">
        <v>8556.9825666558081</v>
      </c>
      <c r="AO8">
        <v>57443.058062167933</v>
      </c>
      <c r="AP8">
        <v>0.43813089290697749</v>
      </c>
      <c r="AQ8">
        <v>27.389075261003789</v>
      </c>
      <c r="AR8">
        <v>162.13731195548459</v>
      </c>
      <c r="AS8">
        <v>1327.621511230933</v>
      </c>
      <c r="AT8">
        <v>0.4</v>
      </c>
      <c r="AU8">
        <v>1.5</v>
      </c>
      <c r="AW8" s="7">
        <v>0.997</v>
      </c>
    </row>
    <row r="9" spans="1:49" x14ac:dyDescent="0.3">
      <c r="A9" t="s">
        <v>67</v>
      </c>
      <c r="B9" t="s">
        <v>52</v>
      </c>
      <c r="C9" t="s">
        <v>302</v>
      </c>
      <c r="D9" t="s">
        <v>53</v>
      </c>
      <c r="E9" t="s">
        <v>68</v>
      </c>
      <c r="F9" t="s">
        <v>48</v>
      </c>
      <c r="G9" t="s">
        <v>49</v>
      </c>
      <c r="H9">
        <v>6</v>
      </c>
      <c r="I9">
        <v>24</v>
      </c>
      <c r="J9">
        <v>68.055970946378977</v>
      </c>
      <c r="K9">
        <v>144.24470615849711</v>
      </c>
      <c r="L9">
        <v>154.70670329377751</v>
      </c>
      <c r="M9">
        <v>206.73637133440931</v>
      </c>
      <c r="N9">
        <v>195.34276740741919</v>
      </c>
      <c r="O9">
        <v>231.7824911791831</v>
      </c>
      <c r="P9">
        <v>186.0636704499484</v>
      </c>
      <c r="Q9">
        <v>164.34780187992149</v>
      </c>
      <c r="R9">
        <v>136.74666130682451</v>
      </c>
      <c r="S9">
        <v>147.79831796331561</v>
      </c>
      <c r="T9">
        <v>166.6107383847702</v>
      </c>
      <c r="U9">
        <v>176.05374902486801</v>
      </c>
      <c r="V9">
        <v>118.9969854443916</v>
      </c>
      <c r="W9" s="6">
        <v>256.9347343529299</v>
      </c>
      <c r="X9" s="6">
        <f t="shared" si="4"/>
        <v>31.958687773517269</v>
      </c>
      <c r="Y9" s="5">
        <v>0.8</v>
      </c>
      <c r="Z9" s="6">
        <f>W9</f>
        <v>256.9347343529299</v>
      </c>
      <c r="AA9" s="6">
        <v>10.32227546006653</v>
      </c>
      <c r="AB9" s="6">
        <v>10.32227546006653</v>
      </c>
      <c r="AC9">
        <v>619.57152012695701</v>
      </c>
      <c r="AD9">
        <v>619.57152012695701</v>
      </c>
      <c r="AE9">
        <v>294.28738975548191</v>
      </c>
      <c r="AF9">
        <v>99</v>
      </c>
      <c r="AG9">
        <v>74.328135013885927</v>
      </c>
      <c r="AH9">
        <v>0</v>
      </c>
      <c r="AI9">
        <v>2029.430963827326</v>
      </c>
      <c r="AJ9">
        <v>338.23849397122098</v>
      </c>
      <c r="AK9">
        <v>0.2492107574354957</v>
      </c>
      <c r="AL9">
        <v>33485.610903150882</v>
      </c>
      <c r="AM9">
        <v>25140.63644678636</v>
      </c>
      <c r="AN9">
        <v>8344.9744563645236</v>
      </c>
      <c r="AO9">
        <v>46051.595598754997</v>
      </c>
      <c r="AP9">
        <v>0.5459232436989877</v>
      </c>
      <c r="AQ9">
        <v>21.98111206749897</v>
      </c>
      <c r="AR9">
        <v>169.11924698561049</v>
      </c>
      <c r="AS9">
        <v>1756.897557206835</v>
      </c>
      <c r="AT9">
        <v>0.4</v>
      </c>
      <c r="AU9">
        <v>1.5</v>
      </c>
      <c r="AW9" s="7">
        <v>0.997</v>
      </c>
    </row>
    <row r="10" spans="1:49" x14ac:dyDescent="0.3">
      <c r="A10" t="s">
        <v>69</v>
      </c>
      <c r="B10" t="s">
        <v>64</v>
      </c>
      <c r="C10" t="s">
        <v>302</v>
      </c>
      <c r="D10" t="s">
        <v>70</v>
      </c>
      <c r="E10" t="s">
        <v>71</v>
      </c>
      <c r="F10" t="s">
        <v>72</v>
      </c>
      <c r="G10" t="s">
        <v>49</v>
      </c>
      <c r="H10">
        <v>6</v>
      </c>
      <c r="I10">
        <v>24</v>
      </c>
      <c r="J10">
        <v>50.216071047090061</v>
      </c>
      <c r="K10">
        <v>151.74858314494489</v>
      </c>
      <c r="L10">
        <v>137.77141172467961</v>
      </c>
      <c r="M10">
        <v>195.52339305519129</v>
      </c>
      <c r="N10">
        <v>151.94633003047781</v>
      </c>
      <c r="O10">
        <v>156.3243874137697</v>
      </c>
      <c r="P10">
        <v>157.20954176358649</v>
      </c>
      <c r="Q10">
        <v>149.49164930512779</v>
      </c>
      <c r="R10">
        <v>98.413369565969333</v>
      </c>
      <c r="S10">
        <v>95.065792417153716</v>
      </c>
      <c r="T10">
        <v>151.90952960110741</v>
      </c>
      <c r="U10">
        <v>80.692683847155422</v>
      </c>
      <c r="V10">
        <v>113.90795331535629</v>
      </c>
      <c r="W10" s="6">
        <v>227.33445488586847</v>
      </c>
      <c r="X10" s="6">
        <f t="shared" si="4"/>
        <v>32.996585269637549</v>
      </c>
      <c r="Y10" s="5">
        <v>0.8</v>
      </c>
      <c r="Z10" s="6">
        <f>W10</f>
        <v>227.33445488586847</v>
      </c>
      <c r="AA10" s="6">
        <v>11.157261879329811</v>
      </c>
      <c r="AB10" s="6">
        <v>11.157261879329811</v>
      </c>
      <c r="AC10">
        <v>553.8224433118686</v>
      </c>
      <c r="AD10">
        <v>553.8224433118686</v>
      </c>
      <c r="AE10">
        <v>159</v>
      </c>
      <c r="AF10">
        <v>120</v>
      </c>
      <c r="AG10">
        <v>54.261604663228248</v>
      </c>
      <c r="AH10">
        <v>0</v>
      </c>
      <c r="AI10">
        <v>1640.0046251845199</v>
      </c>
      <c r="AJ10">
        <v>273.33410419741989</v>
      </c>
      <c r="AK10">
        <v>0.5478199611397645</v>
      </c>
      <c r="AL10">
        <v>32800.092503690386</v>
      </c>
      <c r="AM10">
        <v>14831.547102938041</v>
      </c>
      <c r="AN10">
        <v>17968.545400752351</v>
      </c>
      <c r="AO10">
        <v>30051.294472611749</v>
      </c>
      <c r="AP10">
        <v>0.49354103918735559</v>
      </c>
      <c r="AQ10">
        <v>24.314087476410691</v>
      </c>
      <c r="AR10">
        <v>136.66705209871</v>
      </c>
      <c r="AS10">
        <v>1158.782798367575</v>
      </c>
      <c r="AT10">
        <v>0.4</v>
      </c>
      <c r="AU10">
        <v>1.5</v>
      </c>
      <c r="AW10" s="7">
        <v>0.997</v>
      </c>
    </row>
    <row r="11" spans="1:49" x14ac:dyDescent="0.3">
      <c r="A11" t="s">
        <v>73</v>
      </c>
      <c r="B11" t="s">
        <v>44</v>
      </c>
      <c r="C11" t="s">
        <v>302</v>
      </c>
      <c r="D11" t="s">
        <v>46</v>
      </c>
      <c r="E11" t="s">
        <v>74</v>
      </c>
      <c r="F11" t="s">
        <v>72</v>
      </c>
      <c r="G11" t="s">
        <v>49</v>
      </c>
      <c r="H11">
        <v>6</v>
      </c>
      <c r="I11">
        <v>24</v>
      </c>
      <c r="J11">
        <v>77.587511825922419</v>
      </c>
      <c r="K11">
        <v>164.5849753607763</v>
      </c>
      <c r="L11">
        <v>116.6132453057799</v>
      </c>
      <c r="M11">
        <v>129.3986148688418</v>
      </c>
      <c r="N11">
        <v>202.30599526839799</v>
      </c>
      <c r="O11">
        <v>194.65709935175249</v>
      </c>
      <c r="P11">
        <v>139.7096586209955</v>
      </c>
      <c r="Q11">
        <v>146.16736658936131</v>
      </c>
      <c r="R11">
        <v>127.34191765630381</v>
      </c>
      <c r="S11">
        <v>172.184758563526</v>
      </c>
      <c r="T11">
        <v>120.68960055912611</v>
      </c>
      <c r="U11">
        <v>146.19280970364341</v>
      </c>
      <c r="V11">
        <v>90.043198876082897</v>
      </c>
      <c r="W11" s="6">
        <v>236.077038822022</v>
      </c>
      <c r="X11" s="6">
        <f t="shared" si="4"/>
        <v>32.845748175737896</v>
      </c>
      <c r="Y11" s="5">
        <v>0.8</v>
      </c>
      <c r="Z11" s="6">
        <f>W11</f>
        <v>236.077038822022</v>
      </c>
      <c r="AA11" s="6">
        <v>22.903225806451609</v>
      </c>
      <c r="AB11" s="6">
        <v>22.903225806451609</v>
      </c>
      <c r="AC11">
        <v>449.13174840540779</v>
      </c>
      <c r="AD11">
        <v>449.13174840540779</v>
      </c>
      <c r="AE11">
        <v>300</v>
      </c>
      <c r="AF11">
        <v>112</v>
      </c>
      <c r="AG11">
        <v>80.954313791314434</v>
      </c>
      <c r="AH11">
        <v>0</v>
      </c>
      <c r="AI11">
        <v>1749.889240724588</v>
      </c>
      <c r="AJ11">
        <v>291.64820678743132</v>
      </c>
      <c r="AK11">
        <v>0.27719362686326399</v>
      </c>
      <c r="AL11">
        <v>32664.599160192301</v>
      </c>
      <c r="AM11">
        <v>23610.180448943869</v>
      </c>
      <c r="AN11">
        <v>9054.4187112484306</v>
      </c>
      <c r="AO11">
        <v>36359.152494053073</v>
      </c>
      <c r="AP11">
        <v>0.64936003260267317</v>
      </c>
      <c r="AQ11">
        <v>18.479732964012729</v>
      </c>
      <c r="AR11">
        <v>145.8241033937156</v>
      </c>
      <c r="AS11">
        <v>1451.958951700075</v>
      </c>
      <c r="AT11">
        <v>0.4</v>
      </c>
      <c r="AU11">
        <v>1.5</v>
      </c>
      <c r="AW11" s="7">
        <v>0.997</v>
      </c>
    </row>
    <row r="12" spans="1:49" x14ac:dyDescent="0.3">
      <c r="A12" t="s">
        <v>75</v>
      </c>
      <c r="B12" t="s">
        <v>64</v>
      </c>
      <c r="C12" t="s">
        <v>302</v>
      </c>
      <c r="D12" t="s">
        <v>65</v>
      </c>
      <c r="E12" t="s">
        <v>76</v>
      </c>
      <c r="F12" t="s">
        <v>72</v>
      </c>
      <c r="G12" t="s">
        <v>77</v>
      </c>
      <c r="H12">
        <v>6</v>
      </c>
      <c r="I12">
        <v>24</v>
      </c>
      <c r="J12">
        <v>70.541398358104189</v>
      </c>
      <c r="K12">
        <v>133.40266529339709</v>
      </c>
      <c r="L12">
        <v>162.31092028319841</v>
      </c>
      <c r="M12">
        <v>155.49837295693581</v>
      </c>
      <c r="N12">
        <v>151.11216422737931</v>
      </c>
      <c r="O12">
        <v>189.18164566130139</v>
      </c>
      <c r="P12">
        <v>175.19441295589789</v>
      </c>
      <c r="Q12">
        <v>133.54956005641719</v>
      </c>
      <c r="R12">
        <v>163.60848500553399</v>
      </c>
      <c r="S12">
        <v>131.00511220400219</v>
      </c>
      <c r="T12">
        <v>178.66981958504769</v>
      </c>
      <c r="U12">
        <v>224.51271812897181</v>
      </c>
      <c r="V12">
        <v>178.50358669093109</v>
      </c>
      <c r="W12" s="6">
        <v>238.9726240353031</v>
      </c>
      <c r="X12" s="6">
        <f t="shared" si="4"/>
        <v>27.025501073184071</v>
      </c>
      <c r="Y12" s="5">
        <v>0.8</v>
      </c>
      <c r="Z12" s="6">
        <f>W12</f>
        <v>238.9726240353031</v>
      </c>
      <c r="AA12" s="6">
        <v>53.424176763206887</v>
      </c>
      <c r="AB12" s="6">
        <v>53.424176763206887</v>
      </c>
      <c r="AC12">
        <v>304.3031098361156</v>
      </c>
      <c r="AD12">
        <v>304.3031098361156</v>
      </c>
      <c r="AE12">
        <v>187.25293734314619</v>
      </c>
      <c r="AF12">
        <v>99</v>
      </c>
      <c r="AG12">
        <v>79.760429700613415</v>
      </c>
      <c r="AH12">
        <v>0</v>
      </c>
      <c r="AI12">
        <v>1976.5494630490141</v>
      </c>
      <c r="AJ12">
        <v>329.42491050816898</v>
      </c>
      <c r="AK12">
        <v>0.19433909393319779</v>
      </c>
      <c r="AL12">
        <v>32613.066140308729</v>
      </c>
      <c r="AM12">
        <v>26275.072416217681</v>
      </c>
      <c r="AN12">
        <v>6337.9937240910513</v>
      </c>
      <c r="AO12">
        <v>24271.346799761541</v>
      </c>
      <c r="AP12">
        <v>1.082555188757627</v>
      </c>
      <c r="AQ12">
        <v>11.084885209198029</v>
      </c>
      <c r="AR12">
        <v>164.71245525408449</v>
      </c>
      <c r="AS12">
        <v>894.41528718997347</v>
      </c>
      <c r="AT12">
        <v>0.4</v>
      </c>
      <c r="AU12">
        <v>1.5</v>
      </c>
      <c r="AW12" s="7">
        <v>0.997</v>
      </c>
    </row>
    <row r="13" spans="1:49" x14ac:dyDescent="0.3">
      <c r="A13" t="s">
        <v>78</v>
      </c>
      <c r="B13" t="s">
        <v>44</v>
      </c>
      <c r="C13" t="s">
        <v>302</v>
      </c>
      <c r="D13" t="s">
        <v>79</v>
      </c>
      <c r="E13" t="s">
        <v>80</v>
      </c>
      <c r="F13" t="s">
        <v>72</v>
      </c>
      <c r="G13" t="s">
        <v>77</v>
      </c>
      <c r="H13">
        <v>6</v>
      </c>
      <c r="I13">
        <v>24</v>
      </c>
      <c r="J13">
        <v>44.090395825067901</v>
      </c>
      <c r="K13">
        <v>116.3390326531953</v>
      </c>
      <c r="L13">
        <v>215.50762918777761</v>
      </c>
      <c r="M13">
        <v>186.65684289444471</v>
      </c>
      <c r="N13">
        <v>119.5091901230626</v>
      </c>
      <c r="O13">
        <v>174.53753040754239</v>
      </c>
      <c r="P13">
        <v>209.9060513195582</v>
      </c>
      <c r="Q13">
        <v>143.17960828193461</v>
      </c>
      <c r="R13">
        <v>176.33260010043159</v>
      </c>
      <c r="S13">
        <v>102.8425178141333</v>
      </c>
      <c r="T13">
        <v>179.51455826405439</v>
      </c>
      <c r="U13">
        <v>178.45317794708541</v>
      </c>
      <c r="V13">
        <v>162.99317773373329</v>
      </c>
      <c r="W13" s="6">
        <v>263.27348420163725</v>
      </c>
      <c r="X13" s="6">
        <f t="shared" si="4"/>
        <v>36.196168419569403</v>
      </c>
      <c r="Y13" s="5">
        <v>0.8</v>
      </c>
      <c r="Z13" s="6">
        <f>W13</f>
        <v>263.27348420163725</v>
      </c>
      <c r="AA13" s="6">
        <v>21.03793450727866</v>
      </c>
      <c r="AB13" s="6">
        <v>21.03793450727866</v>
      </c>
      <c r="AC13">
        <v>418.46675008392589</v>
      </c>
      <c r="AD13">
        <v>418.46675008392589</v>
      </c>
      <c r="AE13">
        <v>177.47132182557829</v>
      </c>
      <c r="AF13">
        <v>99</v>
      </c>
      <c r="AG13">
        <v>69.594103823969249</v>
      </c>
      <c r="AH13">
        <v>0</v>
      </c>
      <c r="AI13">
        <v>1965.7719167269529</v>
      </c>
      <c r="AJ13">
        <v>327.62865278782562</v>
      </c>
      <c r="AK13">
        <v>0.29702925430334087</v>
      </c>
      <c r="AL13">
        <v>32435.23662599473</v>
      </c>
      <c r="AM13">
        <v>22801.022477823099</v>
      </c>
      <c r="AN13">
        <v>9634.2141481716262</v>
      </c>
      <c r="AO13">
        <v>29122.81845221973</v>
      </c>
      <c r="AP13">
        <v>0.78292636803788518</v>
      </c>
      <c r="AQ13">
        <v>15.32711183310067</v>
      </c>
      <c r="AR13">
        <v>163.81432639391281</v>
      </c>
      <c r="AS13">
        <v>768.76519378458579</v>
      </c>
      <c r="AT13">
        <v>0.4</v>
      </c>
      <c r="AU13">
        <v>1.5</v>
      </c>
      <c r="AW13" s="7">
        <v>0.997</v>
      </c>
    </row>
    <row r="14" spans="1:49" x14ac:dyDescent="0.3">
      <c r="A14" t="s">
        <v>81</v>
      </c>
      <c r="B14" t="s">
        <v>56</v>
      </c>
      <c r="C14" t="s">
        <v>302</v>
      </c>
      <c r="D14" t="s">
        <v>57</v>
      </c>
      <c r="E14" t="s">
        <v>82</v>
      </c>
      <c r="F14" t="s">
        <v>72</v>
      </c>
      <c r="G14" t="s">
        <v>77</v>
      </c>
      <c r="H14">
        <v>6</v>
      </c>
      <c r="I14">
        <v>24</v>
      </c>
      <c r="J14">
        <v>78.476210821863461</v>
      </c>
      <c r="K14">
        <v>179.3807943307911</v>
      </c>
      <c r="L14">
        <v>137.8362473282323</v>
      </c>
      <c r="M14">
        <v>150.87106855062299</v>
      </c>
      <c r="N14">
        <v>183.2761146637495</v>
      </c>
      <c r="O14">
        <v>196.86758074967659</v>
      </c>
      <c r="P14">
        <v>159.8508849077916</v>
      </c>
      <c r="Q14">
        <v>138.27099716436351</v>
      </c>
      <c r="R14">
        <v>174.28507741569771</v>
      </c>
      <c r="S14">
        <v>135.46154529321939</v>
      </c>
      <c r="T14">
        <v>168.14980805647789</v>
      </c>
      <c r="U14">
        <v>144.18392917505119</v>
      </c>
      <c r="V14">
        <v>140.43932348286029</v>
      </c>
      <c r="W14" s="6">
        <v>216.5821048351028</v>
      </c>
      <c r="X14" s="6">
        <f t="shared" si="4"/>
        <v>20.929366583959542</v>
      </c>
      <c r="Y14" s="5">
        <v>0.8</v>
      </c>
      <c r="Z14" s="6">
        <f>W14</f>
        <v>216.5821048351028</v>
      </c>
      <c r="AA14" s="6">
        <v>39.46378978850673</v>
      </c>
      <c r="AB14" s="6">
        <v>39.46378978850673</v>
      </c>
      <c r="AC14">
        <v>718.28058717612237</v>
      </c>
      <c r="AD14">
        <v>718.28058717612237</v>
      </c>
      <c r="AE14">
        <v>278.60974745999562</v>
      </c>
      <c r="AF14">
        <v>99</v>
      </c>
      <c r="AG14">
        <v>87.246009704886006</v>
      </c>
      <c r="AH14">
        <v>0</v>
      </c>
      <c r="AI14">
        <v>1908.8733711185339</v>
      </c>
      <c r="AJ14">
        <v>318.14556185308902</v>
      </c>
      <c r="AK14">
        <v>0.11872717469812109</v>
      </c>
      <c r="AL14">
        <v>31496.410623455809</v>
      </c>
      <c r="AM14">
        <v>27756.93077700102</v>
      </c>
      <c r="AN14">
        <v>3739.4798464547971</v>
      </c>
      <c r="AO14">
        <v>62667.115079599193</v>
      </c>
      <c r="AP14">
        <v>0.44292657706908029</v>
      </c>
      <c r="AQ14">
        <v>27.092526439497082</v>
      </c>
      <c r="AR14">
        <v>159.07278092654451</v>
      </c>
      <c r="AS14">
        <v>2348.6641161868861</v>
      </c>
      <c r="AT14">
        <v>0.4</v>
      </c>
      <c r="AU14">
        <v>1.5</v>
      </c>
      <c r="AW14" s="7">
        <v>0.997</v>
      </c>
    </row>
    <row r="15" spans="1:49" x14ac:dyDescent="0.3">
      <c r="A15" t="s">
        <v>83</v>
      </c>
      <c r="B15" t="s">
        <v>56</v>
      </c>
      <c r="C15" t="s">
        <v>302</v>
      </c>
      <c r="D15" t="s">
        <v>57</v>
      </c>
      <c r="E15" t="s">
        <v>84</v>
      </c>
      <c r="F15" t="s">
        <v>72</v>
      </c>
      <c r="G15" t="s">
        <v>77</v>
      </c>
      <c r="H15">
        <v>6</v>
      </c>
      <c r="I15">
        <v>24</v>
      </c>
      <c r="J15">
        <v>47.117831965086829</v>
      </c>
      <c r="K15">
        <v>186.7830352843157</v>
      </c>
      <c r="L15">
        <v>162.58605379916841</v>
      </c>
      <c r="M15">
        <v>134.30719188036159</v>
      </c>
      <c r="N15">
        <v>163.93232196278399</v>
      </c>
      <c r="O15">
        <v>164.76082616136409</v>
      </c>
      <c r="P15">
        <v>162.488374068198</v>
      </c>
      <c r="Q15">
        <v>193.30609044700401</v>
      </c>
      <c r="R15">
        <v>151.4383203961188</v>
      </c>
      <c r="S15">
        <v>132.59152107493719</v>
      </c>
      <c r="T15">
        <v>171.78547902076389</v>
      </c>
      <c r="U15">
        <v>134.6979790163459</v>
      </c>
      <c r="V15">
        <v>133.04577957242151</v>
      </c>
      <c r="W15" s="6">
        <v>215.0504531040531</v>
      </c>
      <c r="X15" s="6">
        <f t="shared" si="4"/>
        <v>20.892081280976463</v>
      </c>
      <c r="Y15" s="5">
        <v>0.8</v>
      </c>
      <c r="Z15" s="6">
        <f>W15</f>
        <v>215.0504531040531</v>
      </c>
      <c r="AA15" s="6">
        <v>75.485396893215736</v>
      </c>
      <c r="AB15" s="6">
        <v>75.485396893215736</v>
      </c>
      <c r="AC15">
        <v>678.7041840876492</v>
      </c>
      <c r="AD15">
        <v>678.7041840876492</v>
      </c>
      <c r="AE15">
        <v>157.62216839357279</v>
      </c>
      <c r="AF15">
        <v>99</v>
      </c>
      <c r="AG15">
        <v>47.579271828363908</v>
      </c>
      <c r="AH15">
        <v>0</v>
      </c>
      <c r="AI15">
        <v>1891.7229726837829</v>
      </c>
      <c r="AJ15">
        <v>315.28716211396392</v>
      </c>
      <c r="AK15">
        <v>0.51940129466299079</v>
      </c>
      <c r="AL15">
        <v>31213.429049282418</v>
      </c>
      <c r="AM15">
        <v>15001.133590213731</v>
      </c>
      <c r="AN15">
        <v>16212.2954590687</v>
      </c>
      <c r="AO15">
        <v>32292.250865754198</v>
      </c>
      <c r="AP15">
        <v>0.46454282956541648</v>
      </c>
      <c r="AQ15">
        <v>25.83184851055843</v>
      </c>
      <c r="AR15">
        <v>157.6435810569819</v>
      </c>
      <c r="AS15">
        <v>1332.461237493467</v>
      </c>
      <c r="AT15">
        <v>0.4</v>
      </c>
      <c r="AU15">
        <v>1.5</v>
      </c>
      <c r="AW15" s="7">
        <v>0.997</v>
      </c>
    </row>
    <row r="16" spans="1:49" x14ac:dyDescent="0.3">
      <c r="A16" t="s">
        <v>85</v>
      </c>
      <c r="B16" t="s">
        <v>52</v>
      </c>
      <c r="C16" t="s">
        <v>302</v>
      </c>
      <c r="D16" t="s">
        <v>86</v>
      </c>
      <c r="E16" t="s">
        <v>87</v>
      </c>
      <c r="F16" t="s">
        <v>72</v>
      </c>
      <c r="G16" t="s">
        <v>77</v>
      </c>
      <c r="H16">
        <v>6</v>
      </c>
      <c r="I16">
        <v>24</v>
      </c>
      <c r="J16">
        <v>41.453596606341748</v>
      </c>
      <c r="K16">
        <v>159.87997736956461</v>
      </c>
      <c r="L16">
        <v>153.68693235941461</v>
      </c>
      <c r="M16">
        <v>129.98445451230509</v>
      </c>
      <c r="N16">
        <v>127.3449872009223</v>
      </c>
      <c r="O16">
        <v>117.7283767596236</v>
      </c>
      <c r="P16">
        <v>117.6011611882132</v>
      </c>
      <c r="Q16">
        <v>161.86041345135891</v>
      </c>
      <c r="R16">
        <v>178.18087523337451</v>
      </c>
      <c r="S16">
        <v>194.72667569643821</v>
      </c>
      <c r="T16">
        <v>200.8668563270476</v>
      </c>
      <c r="U16">
        <v>168.70130290626551</v>
      </c>
      <c r="V16">
        <v>170.20804004132509</v>
      </c>
      <c r="W16" s="6">
        <v>234.68536409270772</v>
      </c>
      <c r="X16" s="6">
        <f t="shared" si="4"/>
        <v>28.36998851211823</v>
      </c>
      <c r="Y16" s="5">
        <v>0.8</v>
      </c>
      <c r="Z16" s="6">
        <f>W16</f>
        <v>234.68536409270772</v>
      </c>
      <c r="AA16" s="6">
        <v>71.010162663655507</v>
      </c>
      <c r="AB16" s="6">
        <v>71.010162663655507</v>
      </c>
      <c r="AC16">
        <v>104.22376171147801</v>
      </c>
      <c r="AD16">
        <v>104.22376171147801</v>
      </c>
      <c r="AE16">
        <v>185.84958701831059</v>
      </c>
      <c r="AF16">
        <v>99</v>
      </c>
      <c r="AG16">
        <v>75.548875392925808</v>
      </c>
      <c r="AH16">
        <v>0</v>
      </c>
      <c r="AI16">
        <v>1880.770053045853</v>
      </c>
      <c r="AJ16">
        <v>313.46167550764221</v>
      </c>
      <c r="AK16">
        <v>0.23688004653610301</v>
      </c>
      <c r="AL16">
        <v>31032.705875256579</v>
      </c>
      <c r="AM16">
        <v>23681.67706338461</v>
      </c>
      <c r="AN16">
        <v>7351.0288118719736</v>
      </c>
      <c r="AO16">
        <v>7873.9879865224448</v>
      </c>
      <c r="AP16">
        <v>3.0075835909223478</v>
      </c>
      <c r="AQ16">
        <v>3.989914041364985</v>
      </c>
      <c r="AR16">
        <v>156.73083775382111</v>
      </c>
      <c r="AS16">
        <v>180.01874061596229</v>
      </c>
      <c r="AT16">
        <v>0.4</v>
      </c>
      <c r="AU16">
        <v>1.5</v>
      </c>
      <c r="AW16" s="7">
        <v>0.997</v>
      </c>
    </row>
    <row r="17" spans="1:49" x14ac:dyDescent="0.3">
      <c r="A17" t="s">
        <v>88</v>
      </c>
      <c r="B17" t="s">
        <v>64</v>
      </c>
      <c r="C17" t="s">
        <v>302</v>
      </c>
      <c r="D17" t="s">
        <v>65</v>
      </c>
      <c r="E17" t="s">
        <v>89</v>
      </c>
      <c r="F17" t="s">
        <v>72</v>
      </c>
      <c r="G17" t="s">
        <v>77</v>
      </c>
      <c r="H17">
        <v>6</v>
      </c>
      <c r="I17">
        <v>24</v>
      </c>
      <c r="J17">
        <v>19.958800012207401</v>
      </c>
      <c r="K17">
        <v>150.51984443416589</v>
      </c>
      <c r="L17">
        <v>178.42439243977421</v>
      </c>
      <c r="M17">
        <v>152.3006577976048</v>
      </c>
      <c r="N17">
        <v>148.09735982125861</v>
      </c>
      <c r="O17">
        <v>179.67506134154971</v>
      </c>
      <c r="P17">
        <v>158.37750349091951</v>
      </c>
      <c r="Q17">
        <v>180.89749043283521</v>
      </c>
      <c r="R17">
        <v>153.74242290490659</v>
      </c>
      <c r="S17">
        <v>148.11577708896951</v>
      </c>
      <c r="T17">
        <v>132.16608219081539</v>
      </c>
      <c r="U17">
        <v>161.61263298854459</v>
      </c>
      <c r="V17">
        <v>120.8114273744286</v>
      </c>
      <c r="W17" s="6">
        <v>205.76086207928248</v>
      </c>
      <c r="X17" s="6">
        <f t="shared" si="4"/>
        <v>18.329626944580138</v>
      </c>
      <c r="Y17" s="5">
        <v>0.8</v>
      </c>
      <c r="Z17" s="6">
        <f>W17</f>
        <v>205.76086207928248</v>
      </c>
      <c r="AA17" s="6">
        <v>44.422437208166762</v>
      </c>
      <c r="AB17" s="6">
        <v>44.422437208166762</v>
      </c>
      <c r="AC17">
        <v>615.98254341257973</v>
      </c>
      <c r="AD17">
        <v>615.98254341257973</v>
      </c>
      <c r="AE17">
        <v>270.04207999561908</v>
      </c>
      <c r="AF17">
        <v>99</v>
      </c>
      <c r="AG17">
        <v>80.182805871761232</v>
      </c>
      <c r="AH17">
        <v>0</v>
      </c>
      <c r="AI17">
        <v>1864.740652305773</v>
      </c>
      <c r="AJ17">
        <v>310.79010871762881</v>
      </c>
      <c r="AK17">
        <v>0.19007266796200781</v>
      </c>
      <c r="AL17">
        <v>30768.22076304525</v>
      </c>
      <c r="AM17">
        <v>24920.022954169199</v>
      </c>
      <c r="AN17">
        <v>5848.1978088760516</v>
      </c>
      <c r="AO17">
        <v>49391.208698844617</v>
      </c>
      <c r="AP17">
        <v>0.50454369533888599</v>
      </c>
      <c r="AQ17">
        <v>23.783866711365761</v>
      </c>
      <c r="AR17">
        <v>155.39505435881441</v>
      </c>
      <c r="AS17">
        <v>512.26134979093933</v>
      </c>
      <c r="AT17">
        <v>0.4</v>
      </c>
      <c r="AU17">
        <v>1.5</v>
      </c>
      <c r="AW17" s="7">
        <v>0.997</v>
      </c>
    </row>
    <row r="18" spans="1:49" x14ac:dyDescent="0.3">
      <c r="A18" t="s">
        <v>90</v>
      </c>
      <c r="B18" t="s">
        <v>52</v>
      </c>
      <c r="C18" t="s">
        <v>45</v>
      </c>
      <c r="D18" t="s">
        <v>86</v>
      </c>
      <c r="E18" t="s">
        <v>91</v>
      </c>
      <c r="F18" t="s">
        <v>72</v>
      </c>
      <c r="G18" t="s">
        <v>77</v>
      </c>
      <c r="H18">
        <v>6</v>
      </c>
      <c r="I18">
        <v>24</v>
      </c>
      <c r="J18">
        <v>14.118778038880579</v>
      </c>
      <c r="K18">
        <v>155.3910412134428</v>
      </c>
      <c r="L18">
        <v>144.62294226759701</v>
      </c>
      <c r="M18">
        <v>174.486303118465</v>
      </c>
      <c r="N18">
        <v>120.1635488236207</v>
      </c>
      <c r="O18">
        <v>140.40064722066751</v>
      </c>
      <c r="P18">
        <v>125.1920768176205</v>
      </c>
      <c r="Q18">
        <v>152.37200765695891</v>
      </c>
      <c r="R18">
        <v>187.3094280803343</v>
      </c>
      <c r="S18">
        <v>188.3461156161502</v>
      </c>
      <c r="T18">
        <v>169.22537649079459</v>
      </c>
      <c r="U18">
        <v>170.00695076276321</v>
      </c>
      <c r="V18">
        <v>136.82002342320629</v>
      </c>
      <c r="W18" s="6">
        <v>198.25781430853</v>
      </c>
      <c r="X18" s="6">
        <f t="shared" si="4"/>
        <v>22.807628828410831</v>
      </c>
      <c r="Y18" s="5">
        <v>0.8</v>
      </c>
      <c r="Z18" s="6">
        <f>W18</f>
        <v>198.25781430853</v>
      </c>
      <c r="AA18" s="6">
        <v>15.91326639606921</v>
      </c>
      <c r="AB18" s="6">
        <v>15.91326639606921</v>
      </c>
      <c r="AC18">
        <v>890.11200292977696</v>
      </c>
      <c r="AD18">
        <v>890.11200292977696</v>
      </c>
      <c r="AE18">
        <v>189.8310137621593</v>
      </c>
      <c r="AF18">
        <v>99</v>
      </c>
      <c r="AG18">
        <v>46.88344981231117</v>
      </c>
      <c r="AH18">
        <v>0</v>
      </c>
      <c r="AI18">
        <v>1864.3364614916211</v>
      </c>
      <c r="AJ18">
        <v>310.72274358193681</v>
      </c>
      <c r="AK18">
        <v>0.52642979987564475</v>
      </c>
      <c r="AL18">
        <v>30761.551614611741</v>
      </c>
      <c r="AM18">
        <v>14567.75415426737</v>
      </c>
      <c r="AN18">
        <v>16193.79746034438</v>
      </c>
      <c r="AO18">
        <v>41731.52141669397</v>
      </c>
      <c r="AP18">
        <v>0.34908274751851698</v>
      </c>
      <c r="AQ18">
        <v>34.375803689248393</v>
      </c>
      <c r="AR18">
        <v>155.36137179096841</v>
      </c>
      <c r="AS18">
        <v>523.63724162953929</v>
      </c>
      <c r="AT18">
        <v>0.4</v>
      </c>
      <c r="AU18">
        <v>1.5</v>
      </c>
      <c r="AW18" s="7">
        <v>0.97</v>
      </c>
    </row>
    <row r="19" spans="1:49" x14ac:dyDescent="0.3">
      <c r="A19" t="s">
        <v>92</v>
      </c>
      <c r="B19" t="s">
        <v>52</v>
      </c>
      <c r="C19" t="s">
        <v>45</v>
      </c>
      <c r="D19" t="s">
        <v>93</v>
      </c>
      <c r="E19" t="s">
        <v>94</v>
      </c>
      <c r="F19" t="s">
        <v>72</v>
      </c>
      <c r="G19" t="s">
        <v>77</v>
      </c>
      <c r="H19">
        <v>6</v>
      </c>
      <c r="I19">
        <v>24</v>
      </c>
      <c r="J19">
        <v>63.910336619159523</v>
      </c>
      <c r="K19">
        <v>188.1083282263717</v>
      </c>
      <c r="L19">
        <v>170.441871129151</v>
      </c>
      <c r="M19">
        <v>189.63300514442381</v>
      </c>
      <c r="N19">
        <v>156.37602397546291</v>
      </c>
      <c r="O19">
        <v>170.34644239756739</v>
      </c>
      <c r="P19">
        <v>132.9460875844234</v>
      </c>
      <c r="Q19">
        <v>122.84101027617</v>
      </c>
      <c r="R19">
        <v>164.32979388482639</v>
      </c>
      <c r="S19">
        <v>91.354235488688573</v>
      </c>
      <c r="T19">
        <v>164.45336010874601</v>
      </c>
      <c r="U19">
        <v>149.71197439663231</v>
      </c>
      <c r="V19">
        <v>162.06665274366969</v>
      </c>
      <c r="W19" s="6">
        <v>207.79579762452053</v>
      </c>
      <c r="X19" s="6">
        <f t="shared" si="4"/>
        <v>27.955432545586724</v>
      </c>
      <c r="Y19" s="5">
        <v>0.8</v>
      </c>
      <c r="Z19" s="6">
        <f>W19</f>
        <v>207.79579762452053</v>
      </c>
      <c r="AA19" s="6">
        <v>11.845759453108309</v>
      </c>
      <c r="AB19" s="6">
        <v>11.845759453108309</v>
      </c>
      <c r="AC19">
        <v>756.58742027039398</v>
      </c>
      <c r="AD19">
        <v>756.58742027039398</v>
      </c>
      <c r="AE19">
        <v>103.7559804390185</v>
      </c>
      <c r="AF19">
        <v>99</v>
      </c>
      <c r="AG19">
        <v>84.924161503952149</v>
      </c>
      <c r="AH19">
        <v>0</v>
      </c>
      <c r="AI19">
        <v>1862.608785356133</v>
      </c>
      <c r="AJ19">
        <v>310.4347975593555</v>
      </c>
      <c r="AK19">
        <v>0.14218018682876621</v>
      </c>
      <c r="AL19">
        <v>30733.044958376191</v>
      </c>
      <c r="AM19">
        <v>26363.414884377398</v>
      </c>
      <c r="AN19">
        <v>4369.6300739987973</v>
      </c>
      <c r="AO19">
        <v>64252.552270901448</v>
      </c>
      <c r="AP19">
        <v>0.4103092243437122</v>
      </c>
      <c r="AQ19">
        <v>29.24623500530349</v>
      </c>
      <c r="AR19">
        <v>155.21739877967781</v>
      </c>
      <c r="AS19">
        <v>2014.739862970933</v>
      </c>
      <c r="AT19">
        <v>0.4</v>
      </c>
      <c r="AU19">
        <v>1.5</v>
      </c>
      <c r="AW19" s="7">
        <v>0.97</v>
      </c>
    </row>
    <row r="20" spans="1:49" x14ac:dyDescent="0.3">
      <c r="A20" t="s">
        <v>95</v>
      </c>
      <c r="B20" t="s">
        <v>44</v>
      </c>
      <c r="C20" t="s">
        <v>45</v>
      </c>
      <c r="D20" t="s">
        <v>46</v>
      </c>
      <c r="E20" t="s">
        <v>96</v>
      </c>
      <c r="F20" t="s">
        <v>72</v>
      </c>
      <c r="G20" t="s">
        <v>77</v>
      </c>
      <c r="H20">
        <v>6</v>
      </c>
      <c r="I20">
        <v>24</v>
      </c>
      <c r="J20">
        <v>76.708578753013697</v>
      </c>
      <c r="K20">
        <v>189.64398729294771</v>
      </c>
      <c r="L20">
        <v>150.13656062947121</v>
      </c>
      <c r="M20">
        <v>174.46706730552251</v>
      </c>
      <c r="N20">
        <v>116.73234363697701</v>
      </c>
      <c r="O20">
        <v>161.3090209197253</v>
      </c>
      <c r="P20">
        <v>147.44146634839129</v>
      </c>
      <c r="Q20">
        <v>152.12115764952611</v>
      </c>
      <c r="R20">
        <v>149.80839220370399</v>
      </c>
      <c r="S20">
        <v>148.44677631699599</v>
      </c>
      <c r="T20">
        <v>133.7306290828565</v>
      </c>
      <c r="U20">
        <v>173.40381115573109</v>
      </c>
      <c r="V20">
        <v>141.1346094449982</v>
      </c>
      <c r="W20" s="6">
        <v>189.89089621352352</v>
      </c>
      <c r="X20" s="6">
        <f t="shared" si="4"/>
        <v>19.509270389333686</v>
      </c>
      <c r="Y20" s="5">
        <v>0.8</v>
      </c>
      <c r="Z20" s="6">
        <f>W20</f>
        <v>189.89089621352352</v>
      </c>
      <c r="AA20" s="6">
        <v>12.89315469832453</v>
      </c>
      <c r="AB20" s="6">
        <v>12.89315469832453</v>
      </c>
      <c r="AC20">
        <v>611.07516708883941</v>
      </c>
      <c r="AD20">
        <v>611.07516708883941</v>
      </c>
      <c r="AE20">
        <v>149.6127033024095</v>
      </c>
      <c r="AF20">
        <v>99</v>
      </c>
      <c r="AG20">
        <v>82.939237647633291</v>
      </c>
      <c r="AH20">
        <v>0</v>
      </c>
      <c r="AI20">
        <v>1838.3758219868471</v>
      </c>
      <c r="AJ20">
        <v>306.39597033114109</v>
      </c>
      <c r="AK20">
        <v>0.1622299227511789</v>
      </c>
      <c r="AL20">
        <v>30333.20106278297</v>
      </c>
      <c r="AM20">
        <v>25412.248197571709</v>
      </c>
      <c r="AN20">
        <v>4920.9528652112595</v>
      </c>
      <c r="AO20">
        <v>50682.108503748474</v>
      </c>
      <c r="AP20">
        <v>0.50140471554556987</v>
      </c>
      <c r="AQ20">
        <v>23.932762552787331</v>
      </c>
      <c r="AR20">
        <v>153.1979851655706</v>
      </c>
      <c r="AS20">
        <v>1953.1128157768851</v>
      </c>
      <c r="AT20">
        <v>0.4</v>
      </c>
      <c r="AU20">
        <v>1.5</v>
      </c>
      <c r="AW20" s="7">
        <v>0.97</v>
      </c>
    </row>
    <row r="21" spans="1:49" x14ac:dyDescent="0.3">
      <c r="A21" t="s">
        <v>97</v>
      </c>
      <c r="B21" t="s">
        <v>44</v>
      </c>
      <c r="C21" t="s">
        <v>45</v>
      </c>
      <c r="D21" t="s">
        <v>79</v>
      </c>
      <c r="E21" t="s">
        <v>98</v>
      </c>
      <c r="F21" t="s">
        <v>72</v>
      </c>
      <c r="G21" t="s">
        <v>77</v>
      </c>
      <c r="H21">
        <v>6</v>
      </c>
      <c r="I21">
        <v>24</v>
      </c>
      <c r="J21">
        <v>38.79482406079287</v>
      </c>
      <c r="K21">
        <v>214.45334292948249</v>
      </c>
      <c r="L21">
        <v>157.44125827623071</v>
      </c>
      <c r="M21">
        <v>198.69471013080329</v>
      </c>
      <c r="N21">
        <v>102.0114215556532</v>
      </c>
      <c r="O21">
        <v>155.60809212402091</v>
      </c>
      <c r="P21">
        <v>104.2943442065734</v>
      </c>
      <c r="Q21">
        <v>129.0573838254204</v>
      </c>
      <c r="R21">
        <v>187.04722075781319</v>
      </c>
      <c r="S21">
        <v>150.28574049792951</v>
      </c>
      <c r="T21">
        <v>118.2795987610007</v>
      </c>
      <c r="U21">
        <v>177.39145656960321</v>
      </c>
      <c r="V21">
        <v>142.68172814481659</v>
      </c>
      <c r="W21" s="6">
        <v>221.41233412821532</v>
      </c>
      <c r="X21" s="6">
        <f t="shared" si="4"/>
        <v>36.318964337124243</v>
      </c>
      <c r="Y21" s="5">
        <v>0.8</v>
      </c>
      <c r="Z21" s="6">
        <f>W21</f>
        <v>221.41233412821532</v>
      </c>
      <c r="AA21" s="6">
        <v>27.341837824640649</v>
      </c>
      <c r="AB21" s="6">
        <v>27.341837824640649</v>
      </c>
      <c r="AC21">
        <v>819.99267555772576</v>
      </c>
      <c r="AD21">
        <v>819.99267555772576</v>
      </c>
      <c r="AE21">
        <v>320.24868864391459</v>
      </c>
      <c r="AF21">
        <v>99</v>
      </c>
      <c r="AG21">
        <v>70.770897549363681</v>
      </c>
      <c r="AH21">
        <v>0</v>
      </c>
      <c r="AI21">
        <v>1837.246297779348</v>
      </c>
      <c r="AJ21">
        <v>306.20771629655792</v>
      </c>
      <c r="AK21">
        <v>0.28514244899632651</v>
      </c>
      <c r="AL21">
        <v>30314.56391335923</v>
      </c>
      <c r="AM21">
        <v>21670.594918848321</v>
      </c>
      <c r="AN21">
        <v>8643.968994510913</v>
      </c>
      <c r="AO21">
        <v>58031.617633124421</v>
      </c>
      <c r="AP21">
        <v>0.37342737980956697</v>
      </c>
      <c r="AQ21">
        <v>32.134762068382663</v>
      </c>
      <c r="AR21">
        <v>153.10385814827899</v>
      </c>
      <c r="AS21">
        <v>1325.4779824750319</v>
      </c>
      <c r="AT21">
        <v>0.4</v>
      </c>
      <c r="AU21">
        <v>1.5</v>
      </c>
      <c r="AW21" s="7">
        <v>0.97</v>
      </c>
    </row>
    <row r="22" spans="1:49" x14ac:dyDescent="0.3">
      <c r="A22" t="s">
        <v>99</v>
      </c>
      <c r="B22" t="s">
        <v>52</v>
      </c>
      <c r="C22" t="s">
        <v>45</v>
      </c>
      <c r="D22" t="s">
        <v>53</v>
      </c>
      <c r="E22" t="s">
        <v>100</v>
      </c>
      <c r="F22" t="s">
        <v>72</v>
      </c>
      <c r="G22" t="s">
        <v>77</v>
      </c>
      <c r="H22">
        <v>6</v>
      </c>
      <c r="I22">
        <v>24</v>
      </c>
      <c r="J22">
        <v>67.421185949278239</v>
      </c>
      <c r="K22">
        <v>167.17273789836329</v>
      </c>
      <c r="L22">
        <v>134.0883674551151</v>
      </c>
      <c r="M22">
        <v>129.6390966366744</v>
      </c>
      <c r="N22">
        <v>163.52206027149799</v>
      </c>
      <c r="O22">
        <v>210.02446752972901</v>
      </c>
      <c r="P22">
        <v>157.21192918717861</v>
      </c>
      <c r="Q22">
        <v>182.80470082245299</v>
      </c>
      <c r="R22">
        <v>108.3207682007924</v>
      </c>
      <c r="S22">
        <v>165.35955789222501</v>
      </c>
      <c r="T22">
        <v>151.24077814689369</v>
      </c>
      <c r="U22">
        <v>118.0983592043049</v>
      </c>
      <c r="V22">
        <v>132.2591234988067</v>
      </c>
      <c r="W22" s="6">
        <v>205.8931173856467</v>
      </c>
      <c r="X22" s="6">
        <f t="shared" si="4"/>
        <v>28.843119692596662</v>
      </c>
      <c r="Y22" s="5">
        <v>0.8</v>
      </c>
      <c r="Z22" s="6">
        <f>W22</f>
        <v>205.8931173856467</v>
      </c>
      <c r="AA22" s="6">
        <v>65.572985015411845</v>
      </c>
      <c r="AB22" s="6">
        <v>65.572985015411845</v>
      </c>
      <c r="AC22">
        <v>347.76146732993573</v>
      </c>
      <c r="AD22">
        <v>347.76146732993573</v>
      </c>
      <c r="AE22">
        <v>290.28015609947028</v>
      </c>
      <c r="AF22">
        <v>99</v>
      </c>
      <c r="AG22">
        <v>86.274300363170255</v>
      </c>
      <c r="AH22">
        <v>0</v>
      </c>
      <c r="AI22">
        <v>1819.7419467440341</v>
      </c>
      <c r="AJ22">
        <v>303.29032445733901</v>
      </c>
      <c r="AK22">
        <v>0.12854242057403781</v>
      </c>
      <c r="AL22">
        <v>30025.742121276558</v>
      </c>
      <c r="AM22">
        <v>26166.16054947583</v>
      </c>
      <c r="AN22">
        <v>3859.5815718007352</v>
      </c>
      <c r="AO22">
        <v>30002.877287159688</v>
      </c>
      <c r="AP22">
        <v>0.87212170682956935</v>
      </c>
      <c r="AQ22">
        <v>13.75954744163368</v>
      </c>
      <c r="AR22">
        <v>151.64516222866951</v>
      </c>
      <c r="AS22">
        <v>976.93710645189344</v>
      </c>
      <c r="AT22">
        <v>0.4</v>
      </c>
      <c r="AU22">
        <v>1.5</v>
      </c>
      <c r="AW22" s="7">
        <v>0.97</v>
      </c>
    </row>
    <row r="23" spans="1:49" x14ac:dyDescent="0.3">
      <c r="A23" t="s">
        <v>101</v>
      </c>
      <c r="B23" t="s">
        <v>44</v>
      </c>
      <c r="C23" t="s">
        <v>45</v>
      </c>
      <c r="D23" t="s">
        <v>79</v>
      </c>
      <c r="E23" t="s">
        <v>102</v>
      </c>
      <c r="F23" t="s">
        <v>72</v>
      </c>
      <c r="G23" t="s">
        <v>77</v>
      </c>
      <c r="H23">
        <v>6</v>
      </c>
      <c r="I23">
        <v>24</v>
      </c>
      <c r="J23">
        <v>75.136265144810324</v>
      </c>
      <c r="K23">
        <v>142.44032551359851</v>
      </c>
      <c r="L23">
        <v>162.73656380362809</v>
      </c>
      <c r="M23">
        <v>198.78052095591559</v>
      </c>
      <c r="N23">
        <v>85.266987449722365</v>
      </c>
      <c r="O23">
        <v>115.6408817827469</v>
      </c>
      <c r="P23">
        <v>119.1180619265651</v>
      </c>
      <c r="Q23">
        <v>158.6690079115215</v>
      </c>
      <c r="R23">
        <v>132.40107288438591</v>
      </c>
      <c r="S23">
        <v>159.77343006525189</v>
      </c>
      <c r="T23">
        <v>154.21243839809901</v>
      </c>
      <c r="U23">
        <v>136.3355469642556</v>
      </c>
      <c r="V23">
        <v>144.3825628179184</v>
      </c>
      <c r="W23" s="6">
        <v>196.16192787055388</v>
      </c>
      <c r="X23" s="6">
        <f t="shared" si="4"/>
        <v>28.542283568541382</v>
      </c>
      <c r="Y23" s="5">
        <v>0.8</v>
      </c>
      <c r="Z23" s="6">
        <f>W23</f>
        <v>196.16192787055388</v>
      </c>
      <c r="AA23" s="6">
        <v>23.45500045777764</v>
      </c>
      <c r="AB23" s="6">
        <v>23.45500045777764</v>
      </c>
      <c r="AC23">
        <v>517.39555040131847</v>
      </c>
      <c r="AD23">
        <v>517.39555040131847</v>
      </c>
      <c r="AE23">
        <v>134.1326487308834</v>
      </c>
      <c r="AF23">
        <v>105</v>
      </c>
      <c r="AG23">
        <v>76.447340311899168</v>
      </c>
      <c r="AH23">
        <v>0</v>
      </c>
      <c r="AI23">
        <v>1709.7574004736091</v>
      </c>
      <c r="AJ23">
        <v>284.95956674560148</v>
      </c>
      <c r="AK23">
        <v>0.27193009226762699</v>
      </c>
      <c r="AL23">
        <v>29920.754508288159</v>
      </c>
      <c r="AM23">
        <v>21784.400974132339</v>
      </c>
      <c r="AN23">
        <v>8136.3535341558136</v>
      </c>
      <c r="AO23">
        <v>39553.513717391972</v>
      </c>
      <c r="AP23">
        <v>0.55075766794780567</v>
      </c>
      <c r="AQ23">
        <v>21.788166916882979</v>
      </c>
      <c r="AR23">
        <v>142.47978337280071</v>
      </c>
      <c r="AS23">
        <v>1619.798719154106</v>
      </c>
      <c r="AT23">
        <v>0.4</v>
      </c>
      <c r="AU23">
        <v>1.5</v>
      </c>
      <c r="AW23" s="7">
        <v>0.97</v>
      </c>
    </row>
    <row r="24" spans="1:49" x14ac:dyDescent="0.3">
      <c r="A24" t="s">
        <v>103</v>
      </c>
      <c r="B24" t="s">
        <v>52</v>
      </c>
      <c r="C24" t="s">
        <v>45</v>
      </c>
      <c r="D24" t="s">
        <v>86</v>
      </c>
      <c r="E24" t="s">
        <v>104</v>
      </c>
      <c r="F24" t="s">
        <v>72</v>
      </c>
      <c r="G24" t="s">
        <v>77</v>
      </c>
      <c r="H24">
        <v>6</v>
      </c>
      <c r="I24">
        <v>24</v>
      </c>
      <c r="J24">
        <v>60.936613055818363</v>
      </c>
      <c r="K24">
        <v>155.63612729820309</v>
      </c>
      <c r="L24">
        <v>217.71988410037011</v>
      </c>
      <c r="M24">
        <v>143.72254251284181</v>
      </c>
      <c r="N24">
        <v>139.143088896526</v>
      </c>
      <c r="O24">
        <v>160.22953028950721</v>
      </c>
      <c r="P24">
        <v>161.6423393592413</v>
      </c>
      <c r="Q24">
        <v>119.2542132834205</v>
      </c>
      <c r="R24">
        <v>129.33173290221021</v>
      </c>
      <c r="S24">
        <v>186.8513155990513</v>
      </c>
      <c r="T24">
        <v>152.825822775776</v>
      </c>
      <c r="U24">
        <v>134.00378444785019</v>
      </c>
      <c r="V24">
        <v>106.88162925944199</v>
      </c>
      <c r="W24" s="6">
        <v>206.92577641081417</v>
      </c>
      <c r="X24" s="6">
        <f t="shared" si="4"/>
        <v>29.946016018458039</v>
      </c>
      <c r="Y24" s="5">
        <v>0.8</v>
      </c>
      <c r="Z24" s="6">
        <f>W24</f>
        <v>206.92577641081417</v>
      </c>
      <c r="AA24" s="6">
        <v>55.61418500320444</v>
      </c>
      <c r="AB24" s="6">
        <v>55.61418500320444</v>
      </c>
      <c r="AC24">
        <v>800.07019257179479</v>
      </c>
      <c r="AD24">
        <v>800.07019257179479</v>
      </c>
      <c r="AE24">
        <v>292.68974862497998</v>
      </c>
      <c r="AF24">
        <v>99</v>
      </c>
      <c r="AG24">
        <v>68.336741233558158</v>
      </c>
      <c r="AH24">
        <v>0</v>
      </c>
      <c r="AI24">
        <v>1807.24201072444</v>
      </c>
      <c r="AJ24">
        <v>301.20700178740663</v>
      </c>
      <c r="AK24">
        <v>0.30972988652971561</v>
      </c>
      <c r="AL24">
        <v>29819.49317695326</v>
      </c>
      <c r="AM24">
        <v>20583.504938881899</v>
      </c>
      <c r="AN24">
        <v>9235.9882380713607</v>
      </c>
      <c r="AO24">
        <v>54674.189718461777</v>
      </c>
      <c r="AP24">
        <v>0.37647571998550322</v>
      </c>
      <c r="AQ24">
        <v>31.874565511056279</v>
      </c>
      <c r="AR24">
        <v>150.60350089370331</v>
      </c>
      <c r="AS24">
        <v>2031.398655926731</v>
      </c>
      <c r="AT24">
        <v>0.4</v>
      </c>
      <c r="AU24">
        <v>1.5</v>
      </c>
      <c r="AW24" s="7">
        <v>0.97</v>
      </c>
    </row>
    <row r="25" spans="1:49" x14ac:dyDescent="0.3">
      <c r="A25" t="s">
        <v>105</v>
      </c>
      <c r="B25" t="s">
        <v>56</v>
      </c>
      <c r="C25" t="s">
        <v>45</v>
      </c>
      <c r="D25" t="s">
        <v>57</v>
      </c>
      <c r="E25" t="s">
        <v>106</v>
      </c>
      <c r="F25" t="s">
        <v>72</v>
      </c>
      <c r="G25" t="s">
        <v>77</v>
      </c>
      <c r="H25">
        <v>6</v>
      </c>
      <c r="I25">
        <v>24</v>
      </c>
      <c r="J25">
        <v>83.627735221411797</v>
      </c>
      <c r="K25">
        <v>191.34451501158759</v>
      </c>
      <c r="L25">
        <v>131.44061237326241</v>
      </c>
      <c r="M25">
        <v>108.625812723767</v>
      </c>
      <c r="N25">
        <v>155.8464593166718</v>
      </c>
      <c r="O25">
        <v>111.6175273331464</v>
      </c>
      <c r="P25">
        <v>153.37032588504371</v>
      </c>
      <c r="Q25">
        <v>157.71611894379021</v>
      </c>
      <c r="R25">
        <v>147.62567313155159</v>
      </c>
      <c r="S25">
        <v>160.4462742456235</v>
      </c>
      <c r="T25">
        <v>164.54363882658069</v>
      </c>
      <c r="U25">
        <v>175.3252437687479</v>
      </c>
      <c r="V25">
        <v>141.89418531386761</v>
      </c>
      <c r="W25" s="6">
        <v>195.26889923631177</v>
      </c>
      <c r="X25" s="6">
        <f t="shared" si="4"/>
        <v>24.078063005199066</v>
      </c>
      <c r="Y25" s="5">
        <v>0.8</v>
      </c>
      <c r="Z25" s="6">
        <f>W25</f>
        <v>195.26889923631177</v>
      </c>
      <c r="AA25" s="6">
        <v>32.547074800866717</v>
      </c>
      <c r="AB25" s="6">
        <v>32.547074800866717</v>
      </c>
      <c r="AC25">
        <v>248.368785668508</v>
      </c>
      <c r="AD25">
        <v>248.368785668508</v>
      </c>
      <c r="AE25">
        <v>238.626996128005</v>
      </c>
      <c r="AF25">
        <v>99</v>
      </c>
      <c r="AG25">
        <v>88.168889431440164</v>
      </c>
      <c r="AH25">
        <v>0</v>
      </c>
      <c r="AI25">
        <v>1799.796386873641</v>
      </c>
      <c r="AJ25">
        <v>299.9660644789401</v>
      </c>
      <c r="AK25">
        <v>0.1094051572581802</v>
      </c>
      <c r="AL25">
        <v>29696.64038341507</v>
      </c>
      <c r="AM25">
        <v>26447.674772227921</v>
      </c>
      <c r="AN25">
        <v>3248.96561118715</v>
      </c>
      <c r="AO25">
        <v>21898.40000182774</v>
      </c>
      <c r="AP25">
        <v>1.2077446192425241</v>
      </c>
      <c r="AQ25">
        <v>9.935875357098416</v>
      </c>
      <c r="AR25">
        <v>149.98303223946999</v>
      </c>
      <c r="AS25">
        <v>865.4382935478983</v>
      </c>
      <c r="AT25">
        <v>0.4</v>
      </c>
      <c r="AU25">
        <v>1.5</v>
      </c>
      <c r="AW25" s="7">
        <v>0.97</v>
      </c>
    </row>
    <row r="26" spans="1:49" x14ac:dyDescent="0.3">
      <c r="A26" t="s">
        <v>107</v>
      </c>
      <c r="B26" t="s">
        <v>64</v>
      </c>
      <c r="C26" t="s">
        <v>45</v>
      </c>
      <c r="D26" t="s">
        <v>65</v>
      </c>
      <c r="E26" t="s">
        <v>108</v>
      </c>
      <c r="F26" t="s">
        <v>72</v>
      </c>
      <c r="G26" t="s">
        <v>77</v>
      </c>
      <c r="H26">
        <v>6</v>
      </c>
      <c r="I26">
        <v>24</v>
      </c>
      <c r="J26">
        <v>59.828180791650126</v>
      </c>
      <c r="K26">
        <v>109.7263467876473</v>
      </c>
      <c r="L26">
        <v>153.07026084556131</v>
      </c>
      <c r="M26">
        <v>180.8507651425316</v>
      </c>
      <c r="N26">
        <v>161.0457904156647</v>
      </c>
      <c r="O26">
        <v>150.61165792430981</v>
      </c>
      <c r="P26">
        <v>146.2228912409046</v>
      </c>
      <c r="Q26">
        <v>161.8132788884395</v>
      </c>
      <c r="R26">
        <v>154.1475345824438</v>
      </c>
      <c r="S26">
        <v>90.42709658970125</v>
      </c>
      <c r="T26">
        <v>147.72696810396161</v>
      </c>
      <c r="U26">
        <v>199.7981091029942</v>
      </c>
      <c r="V26">
        <v>143.6051835902617</v>
      </c>
      <c r="W26" s="6">
        <v>203.57283786619493</v>
      </c>
      <c r="X26" s="6">
        <f t="shared" si="4"/>
        <v>28.526440841674685</v>
      </c>
      <c r="Y26" s="5">
        <v>0.8</v>
      </c>
      <c r="Z26" s="6">
        <f>W26</f>
        <v>203.57283786619493</v>
      </c>
      <c r="AA26" s="6">
        <v>68.285470137638484</v>
      </c>
      <c r="AB26" s="6">
        <v>68.285470137638484</v>
      </c>
      <c r="AC26">
        <v>747.35862300485235</v>
      </c>
      <c r="AD26">
        <v>747.35862300485235</v>
      </c>
      <c r="AE26">
        <v>66.061972524039447</v>
      </c>
      <c r="AF26">
        <v>99</v>
      </c>
      <c r="AG26">
        <v>53.502304147465438</v>
      </c>
      <c r="AH26">
        <v>0</v>
      </c>
      <c r="AI26">
        <v>1799.0458832144211</v>
      </c>
      <c r="AJ26">
        <v>299.84098053573689</v>
      </c>
      <c r="AK26">
        <v>0.45957268537913698</v>
      </c>
      <c r="AL26">
        <v>29684.257073037948</v>
      </c>
      <c r="AM26">
        <v>16042.183336497261</v>
      </c>
      <c r="AN26">
        <v>13642.073736540689</v>
      </c>
      <c r="AO26">
        <v>39985.40835523657</v>
      </c>
      <c r="AP26">
        <v>0.40120093795156508</v>
      </c>
      <c r="AQ26">
        <v>29.91019926640525</v>
      </c>
      <c r="AR26">
        <v>149.92049026786839</v>
      </c>
      <c r="AS26">
        <v>1863.0461172222081</v>
      </c>
      <c r="AT26">
        <v>0.4</v>
      </c>
      <c r="AU26">
        <v>1.5</v>
      </c>
      <c r="AW26" s="7">
        <v>0.97</v>
      </c>
    </row>
    <row r="27" spans="1:49" x14ac:dyDescent="0.3">
      <c r="A27" t="s">
        <v>109</v>
      </c>
      <c r="B27" t="s">
        <v>64</v>
      </c>
      <c r="C27" t="s">
        <v>45</v>
      </c>
      <c r="D27" t="s">
        <v>65</v>
      </c>
      <c r="E27" t="s">
        <v>110</v>
      </c>
      <c r="F27" t="s">
        <v>72</v>
      </c>
      <c r="G27" t="s">
        <v>77</v>
      </c>
      <c r="H27">
        <v>6</v>
      </c>
      <c r="I27">
        <v>24</v>
      </c>
      <c r="J27">
        <v>55.409100619525738</v>
      </c>
      <c r="K27">
        <v>115.8346723663271</v>
      </c>
      <c r="L27">
        <v>159.34362560656149</v>
      </c>
      <c r="M27">
        <v>125.3757720100111</v>
      </c>
      <c r="N27">
        <v>125.4784994365764</v>
      </c>
      <c r="O27">
        <v>155.96347717873871</v>
      </c>
      <c r="P27">
        <v>198.60057742916979</v>
      </c>
      <c r="Q27">
        <v>103.7973508267896</v>
      </c>
      <c r="R27">
        <v>152.8534827833937</v>
      </c>
      <c r="S27">
        <v>166.7580424204061</v>
      </c>
      <c r="T27">
        <v>166.01210897206329</v>
      </c>
      <c r="U27">
        <v>168.37906893342731</v>
      </c>
      <c r="V27">
        <v>151.89575075637549</v>
      </c>
      <c r="W27" s="6">
        <v>199.50929197857783</v>
      </c>
      <c r="X27" s="6">
        <f t="shared" si="4"/>
        <v>26.753736313143495</v>
      </c>
      <c r="Y27" s="5">
        <v>0.8</v>
      </c>
      <c r="Z27" s="6">
        <f>W27</f>
        <v>199.50929197857783</v>
      </c>
      <c r="AA27" s="6">
        <v>38.516495254371783</v>
      </c>
      <c r="AB27" s="6">
        <v>38.516495254371783</v>
      </c>
      <c r="AC27">
        <v>295.80675679799799</v>
      </c>
      <c r="AD27">
        <v>295.80675679799799</v>
      </c>
      <c r="AE27">
        <v>191.15501067426521</v>
      </c>
      <c r="AF27">
        <v>99</v>
      </c>
      <c r="AG27">
        <v>79.540696432386241</v>
      </c>
      <c r="AH27">
        <v>0</v>
      </c>
      <c r="AI27">
        <v>1790.29242871984</v>
      </c>
      <c r="AJ27">
        <v>298.38207145330671</v>
      </c>
      <c r="AK27">
        <v>0.19655862189508849</v>
      </c>
      <c r="AL27">
        <v>29539.82507387736</v>
      </c>
      <c r="AM27">
        <v>23733.517766334051</v>
      </c>
      <c r="AN27">
        <v>5806.3073075433149</v>
      </c>
      <c r="AO27">
        <v>23528.675445118261</v>
      </c>
      <c r="AP27">
        <v>1.0087060710958251</v>
      </c>
      <c r="AQ27">
        <v>11.896428844691689</v>
      </c>
      <c r="AR27">
        <v>149.19103572665341</v>
      </c>
      <c r="AS27">
        <v>682.93276463982704</v>
      </c>
      <c r="AT27">
        <v>0.4</v>
      </c>
      <c r="AU27">
        <v>1.5</v>
      </c>
      <c r="AW27" s="7">
        <v>0.97</v>
      </c>
    </row>
    <row r="28" spans="1:49" x14ac:dyDescent="0.3">
      <c r="A28" t="s">
        <v>111</v>
      </c>
      <c r="B28" t="s">
        <v>56</v>
      </c>
      <c r="C28" t="s">
        <v>45</v>
      </c>
      <c r="D28" t="s">
        <v>57</v>
      </c>
      <c r="E28" t="s">
        <v>112</v>
      </c>
      <c r="F28" t="s">
        <v>72</v>
      </c>
      <c r="G28" t="s">
        <v>77</v>
      </c>
      <c r="H28">
        <v>6</v>
      </c>
      <c r="I28">
        <v>24</v>
      </c>
      <c r="J28">
        <v>67.167271950437936</v>
      </c>
      <c r="K28">
        <v>125.2469875602401</v>
      </c>
      <c r="L28">
        <v>173.59719246669559</v>
      </c>
      <c r="M28">
        <v>101.82915881741791</v>
      </c>
      <c r="N28">
        <v>113.59840679360789</v>
      </c>
      <c r="O28">
        <v>119.00087353424171</v>
      </c>
      <c r="P28">
        <v>145.69022293144371</v>
      </c>
      <c r="Q28">
        <v>166.30126007512439</v>
      </c>
      <c r="R28">
        <v>190.74765911354919</v>
      </c>
      <c r="S28">
        <v>153.7725044421677</v>
      </c>
      <c r="T28">
        <v>159.77343006525189</v>
      </c>
      <c r="U28">
        <v>161.91999672300881</v>
      </c>
      <c r="V28">
        <v>158.45386693981709</v>
      </c>
      <c r="W28" s="6">
        <v>198.11598908121806</v>
      </c>
      <c r="X28" s="6">
        <f t="shared" si="4"/>
        <v>26.915070446829404</v>
      </c>
      <c r="Y28" s="5">
        <v>0.8</v>
      </c>
      <c r="Z28" s="6">
        <f>W28</f>
        <v>198.11598908121806</v>
      </c>
      <c r="AA28" s="6">
        <v>28.53572191534165</v>
      </c>
      <c r="AB28" s="6">
        <v>28.53572191534165</v>
      </c>
      <c r="AC28">
        <v>471.95959349345378</v>
      </c>
      <c r="AD28">
        <v>471.95959349345378</v>
      </c>
      <c r="AE28">
        <v>125</v>
      </c>
      <c r="AF28">
        <v>100</v>
      </c>
      <c r="AG28">
        <v>85.573595385601365</v>
      </c>
      <c r="AH28">
        <v>0</v>
      </c>
      <c r="AI28">
        <v>1769.9315594625659</v>
      </c>
      <c r="AJ28">
        <v>294.98859324376099</v>
      </c>
      <c r="AK28">
        <v>0.14426404614398641</v>
      </c>
      <c r="AL28">
        <v>29498.859324376099</v>
      </c>
      <c r="AM28">
        <v>25243.234521609342</v>
      </c>
      <c r="AN28">
        <v>4255.6248027667552</v>
      </c>
      <c r="AO28">
        <v>40387.279291961713</v>
      </c>
      <c r="AP28">
        <v>0.62502934003364541</v>
      </c>
      <c r="AQ28">
        <v>19.19909871647631</v>
      </c>
      <c r="AR28">
        <v>147.49429662188049</v>
      </c>
      <c r="AS28">
        <v>1320.843265241373</v>
      </c>
      <c r="AT28">
        <v>0.4</v>
      </c>
      <c r="AU28">
        <v>1.5</v>
      </c>
      <c r="AW28" s="7">
        <v>0.97</v>
      </c>
    </row>
    <row r="29" spans="1:49" x14ac:dyDescent="0.3">
      <c r="A29" t="s">
        <v>113</v>
      </c>
      <c r="B29" t="s">
        <v>52</v>
      </c>
      <c r="C29" t="s">
        <v>45</v>
      </c>
      <c r="D29" t="s">
        <v>53</v>
      </c>
      <c r="E29" t="s">
        <v>114</v>
      </c>
      <c r="F29" t="s">
        <v>72</v>
      </c>
      <c r="G29" t="s">
        <v>77</v>
      </c>
      <c r="H29">
        <v>6</v>
      </c>
      <c r="I29">
        <v>24</v>
      </c>
      <c r="J29">
        <v>74.760277108066035</v>
      </c>
      <c r="K29">
        <v>151.35332811623809</v>
      </c>
      <c r="L29">
        <v>106.3858636975056</v>
      </c>
      <c r="M29">
        <v>209.3764525547158</v>
      </c>
      <c r="N29">
        <v>154.38167262473141</v>
      </c>
      <c r="O29">
        <v>146.3662730806391</v>
      </c>
      <c r="P29">
        <v>176.55258413142289</v>
      </c>
      <c r="Q29">
        <v>127.4607431390905</v>
      </c>
      <c r="R29">
        <v>118.02960140485079</v>
      </c>
      <c r="S29">
        <v>148.4996065904852</v>
      </c>
      <c r="T29">
        <v>65.438820607960224</v>
      </c>
      <c r="U29">
        <v>198.8236310047796</v>
      </c>
      <c r="V29">
        <v>169.2789912034641</v>
      </c>
      <c r="W29" s="6">
        <v>222.76536908888343</v>
      </c>
      <c r="X29" s="6">
        <f t="shared" si="4"/>
        <v>39.931586016172872</v>
      </c>
      <c r="Y29" s="5">
        <v>0.8</v>
      </c>
      <c r="Z29" s="6">
        <f>W29</f>
        <v>222.76536908888343</v>
      </c>
      <c r="AA29" s="6">
        <v>29.592883083590198</v>
      </c>
      <c r="AB29" s="6">
        <v>29.592883083590198</v>
      </c>
      <c r="AC29">
        <v>262.23639637440112</v>
      </c>
      <c r="AD29">
        <v>262.23639637440112</v>
      </c>
      <c r="AE29">
        <v>350.74245437863277</v>
      </c>
      <c r="AF29">
        <v>99</v>
      </c>
      <c r="AG29">
        <v>76.88436536759545</v>
      </c>
      <c r="AH29">
        <v>0</v>
      </c>
      <c r="AI29">
        <v>1771.9475681558829</v>
      </c>
      <c r="AJ29">
        <v>295.32459469264722</v>
      </c>
      <c r="AK29">
        <v>0.22339024881216721</v>
      </c>
      <c r="AL29">
        <v>29237.134874572079</v>
      </c>
      <c r="AM29">
        <v>22705.844040386532</v>
      </c>
      <c r="AN29">
        <v>6531.2908341855464</v>
      </c>
      <c r="AO29">
        <v>20161.878911531039</v>
      </c>
      <c r="AP29">
        <v>1.1261769867787741</v>
      </c>
      <c r="AQ29">
        <v>10.655518751385459</v>
      </c>
      <c r="AR29">
        <v>147.66229734632361</v>
      </c>
      <c r="AS29">
        <v>816.86940253211947</v>
      </c>
      <c r="AT29">
        <v>0.4</v>
      </c>
      <c r="AU29">
        <v>1.5</v>
      </c>
      <c r="AW29" s="7">
        <v>0.97</v>
      </c>
    </row>
    <row r="30" spans="1:49" x14ac:dyDescent="0.3">
      <c r="A30" t="s">
        <v>115</v>
      </c>
      <c r="B30" t="s">
        <v>52</v>
      </c>
      <c r="C30" t="s">
        <v>45</v>
      </c>
      <c r="D30" t="s">
        <v>86</v>
      </c>
      <c r="E30" t="s">
        <v>116</v>
      </c>
      <c r="F30" t="s">
        <v>72</v>
      </c>
      <c r="G30" t="s">
        <v>117</v>
      </c>
      <c r="H30">
        <v>6</v>
      </c>
      <c r="I30">
        <v>24</v>
      </c>
      <c r="J30">
        <v>76.547441022980436</v>
      </c>
      <c r="K30">
        <v>137.96816953472441</v>
      </c>
      <c r="L30">
        <v>97.840251479647122</v>
      </c>
      <c r="M30">
        <v>149.53755605019981</v>
      </c>
      <c r="N30">
        <v>146.52339965905409</v>
      </c>
      <c r="O30">
        <v>131.83361640258229</v>
      </c>
      <c r="P30">
        <v>130.65044337636209</v>
      </c>
      <c r="Q30">
        <v>181.6763362206984</v>
      </c>
      <c r="R30">
        <v>129.59284883108921</v>
      </c>
      <c r="S30">
        <v>149.20928530627859</v>
      </c>
      <c r="T30">
        <v>115.15882685343971</v>
      </c>
      <c r="U30">
        <v>172.96759475939331</v>
      </c>
      <c r="V30">
        <v>171.9201297113614</v>
      </c>
      <c r="W30" s="6">
        <v>189.04856883772447</v>
      </c>
      <c r="X30" s="6">
        <f t="shared" si="4"/>
        <v>24.53327704628434</v>
      </c>
      <c r="Y30" s="5">
        <v>0.8</v>
      </c>
      <c r="Z30" s="6">
        <f>W30</f>
        <v>189.04856883772447</v>
      </c>
      <c r="AA30" s="6">
        <v>26.951200903347878</v>
      </c>
      <c r="AB30" s="6">
        <v>26.951200903347878</v>
      </c>
      <c r="AC30">
        <v>730.29267250587486</v>
      </c>
      <c r="AD30">
        <v>730.29267250587486</v>
      </c>
      <c r="AE30">
        <v>245.92535004921959</v>
      </c>
      <c r="AF30">
        <v>100</v>
      </c>
      <c r="AG30">
        <v>83.124790185247349</v>
      </c>
      <c r="AH30">
        <v>0</v>
      </c>
      <c r="AI30">
        <v>1714.8784581848299</v>
      </c>
      <c r="AJ30">
        <v>285.8130763641384</v>
      </c>
      <c r="AK30">
        <v>0.16875209814752651</v>
      </c>
      <c r="AL30">
        <v>28581.30763641384</v>
      </c>
      <c r="AM30">
        <v>23758.152004969081</v>
      </c>
      <c r="AN30">
        <v>4823.1556314447571</v>
      </c>
      <c r="AO30">
        <v>60705.425175874407</v>
      </c>
      <c r="AP30">
        <v>0.39136785445678851</v>
      </c>
      <c r="AQ30">
        <v>30.66169043611357</v>
      </c>
      <c r="AR30">
        <v>142.9065381820692</v>
      </c>
      <c r="AS30">
        <v>2329.2514699232588</v>
      </c>
      <c r="AT30">
        <v>0.4</v>
      </c>
      <c r="AU30">
        <v>1.5</v>
      </c>
      <c r="AW30" s="7">
        <v>0.97</v>
      </c>
    </row>
    <row r="31" spans="1:49" x14ac:dyDescent="0.3">
      <c r="A31" t="s">
        <v>118</v>
      </c>
      <c r="B31" t="s">
        <v>44</v>
      </c>
      <c r="C31" t="s">
        <v>45</v>
      </c>
      <c r="D31" t="s">
        <v>46</v>
      </c>
      <c r="E31" t="s">
        <v>119</v>
      </c>
      <c r="F31" t="s">
        <v>72</v>
      </c>
      <c r="G31" t="s">
        <v>117</v>
      </c>
      <c r="H31">
        <v>6</v>
      </c>
      <c r="I31">
        <v>24</v>
      </c>
      <c r="J31">
        <v>51.444135868404189</v>
      </c>
      <c r="K31">
        <v>153.55746578861729</v>
      </c>
      <c r="L31">
        <v>142.41900923152571</v>
      </c>
      <c r="M31">
        <v>166.15781002328731</v>
      </c>
      <c r="N31">
        <v>140.4175638221204</v>
      </c>
      <c r="O31">
        <v>156.6932784648088</v>
      </c>
      <c r="P31">
        <v>181.91780706401909</v>
      </c>
      <c r="Q31">
        <v>110.31201590085401</v>
      </c>
      <c r="R31">
        <v>146.95050973969049</v>
      </c>
      <c r="S31">
        <v>95.333593132090755</v>
      </c>
      <c r="T31">
        <v>106.88162925944199</v>
      </c>
      <c r="U31">
        <v>174.26280616418811</v>
      </c>
      <c r="V31">
        <v>127.4333900859347</v>
      </c>
      <c r="W31" s="6">
        <v>193.28067867738974</v>
      </c>
      <c r="X31" s="6">
        <f t="shared" si="4"/>
        <v>27.339135936107027</v>
      </c>
      <c r="Y31" s="5">
        <v>0.8</v>
      </c>
      <c r="Z31" s="6">
        <f>W31</f>
        <v>193.28067867738974</v>
      </c>
      <c r="AA31" s="6">
        <v>19.38261055330058</v>
      </c>
      <c r="AB31" s="6">
        <v>19.38261055330058</v>
      </c>
      <c r="AC31">
        <v>213.67534409619441</v>
      </c>
      <c r="AD31">
        <v>213.67534409619441</v>
      </c>
      <c r="AE31">
        <v>133.42619872128131</v>
      </c>
      <c r="AF31">
        <v>99</v>
      </c>
      <c r="AG31">
        <v>83.11990722373119</v>
      </c>
      <c r="AH31">
        <v>0</v>
      </c>
      <c r="AI31">
        <v>1702.3368786765791</v>
      </c>
      <c r="AJ31">
        <v>283.72281311276311</v>
      </c>
      <c r="AK31">
        <v>0.16040497753806879</v>
      </c>
      <c r="AL31">
        <v>28088.558498163551</v>
      </c>
      <c r="AM31">
        <v>23583.01390318889</v>
      </c>
      <c r="AN31">
        <v>4505.5445949746554</v>
      </c>
      <c r="AO31">
        <v>17760.674777274511</v>
      </c>
      <c r="AP31">
        <v>1.3278219549047929</v>
      </c>
      <c r="AQ31">
        <v>9.0373562175814595</v>
      </c>
      <c r="AR31">
        <v>141.86140655638161</v>
      </c>
      <c r="AS31">
        <v>458.01430972552657</v>
      </c>
      <c r="AT31">
        <v>0.4</v>
      </c>
      <c r="AU31">
        <v>1.5</v>
      </c>
      <c r="AW31" s="7">
        <v>0.97</v>
      </c>
    </row>
    <row r="32" spans="1:49" x14ac:dyDescent="0.3">
      <c r="A32" t="s">
        <v>120</v>
      </c>
      <c r="B32" t="s">
        <v>64</v>
      </c>
      <c r="C32" t="s">
        <v>45</v>
      </c>
      <c r="D32" t="s">
        <v>65</v>
      </c>
      <c r="E32" t="s">
        <v>121</v>
      </c>
      <c r="F32" t="s">
        <v>72</v>
      </c>
      <c r="G32" t="s">
        <v>117</v>
      </c>
      <c r="H32">
        <v>6</v>
      </c>
      <c r="I32">
        <v>24</v>
      </c>
      <c r="J32">
        <v>46.356089968565939</v>
      </c>
      <c r="K32">
        <v>155.93540789850519</v>
      </c>
      <c r="L32">
        <v>120.66367996012561</v>
      </c>
      <c r="M32">
        <v>177.6325863524107</v>
      </c>
      <c r="N32">
        <v>182.3126187140588</v>
      </c>
      <c r="O32">
        <v>146.65968744011479</v>
      </c>
      <c r="P32">
        <v>177.24555088207131</v>
      </c>
      <c r="Q32">
        <v>195.12817213253581</v>
      </c>
      <c r="R32">
        <v>150.36834535421801</v>
      </c>
      <c r="S32">
        <v>201.4163730258588</v>
      </c>
      <c r="T32">
        <v>180.6992660625838</v>
      </c>
      <c r="U32">
        <v>166.99190761428329</v>
      </c>
      <c r="V32">
        <v>121.69040852895709</v>
      </c>
      <c r="W32" s="6">
        <v>214.05725493961467</v>
      </c>
      <c r="X32" s="6">
        <f t="shared" si="4"/>
        <v>26.227539124273843</v>
      </c>
      <c r="Y32" s="5">
        <v>0.8</v>
      </c>
      <c r="Z32" s="6">
        <f>W32</f>
        <v>214.05725493961467</v>
      </c>
      <c r="AA32" s="6">
        <v>54.830469679860833</v>
      </c>
      <c r="AB32" s="6">
        <v>54.830469679860833</v>
      </c>
      <c r="AC32">
        <v>808.24915311136215</v>
      </c>
      <c r="AD32">
        <v>808.24915311136215</v>
      </c>
      <c r="AE32">
        <v>290.02322384621948</v>
      </c>
      <c r="AF32">
        <v>83.429975280007326</v>
      </c>
      <c r="AG32">
        <v>10.40772728659932</v>
      </c>
      <c r="AH32">
        <v>0</v>
      </c>
      <c r="AI32">
        <v>1976.7440039657231</v>
      </c>
      <c r="AJ32">
        <v>329.45733399428718</v>
      </c>
      <c r="AK32">
        <v>0.87525194330132594</v>
      </c>
      <c r="AL32">
        <v>27486.617230960499</v>
      </c>
      <c r="AM32">
        <v>3428.90208478261</v>
      </c>
      <c r="AN32">
        <v>24057.715146177889</v>
      </c>
      <c r="AO32">
        <v>8412.0367652079185</v>
      </c>
      <c r="AP32">
        <v>0.40761853288189448</v>
      </c>
      <c r="AQ32">
        <v>29.439289512081491</v>
      </c>
      <c r="AR32">
        <v>164.72866699714359</v>
      </c>
      <c r="AS32">
        <v>1561.1362691103141</v>
      </c>
      <c r="AT32">
        <v>0.4</v>
      </c>
      <c r="AU32">
        <v>1.5</v>
      </c>
      <c r="AW32" s="7">
        <v>0.97</v>
      </c>
    </row>
    <row r="33" spans="1:49" x14ac:dyDescent="0.3">
      <c r="A33" t="s">
        <v>122</v>
      </c>
      <c r="B33" t="s">
        <v>64</v>
      </c>
      <c r="C33" t="s">
        <v>45</v>
      </c>
      <c r="D33" t="s">
        <v>65</v>
      </c>
      <c r="E33" t="s">
        <v>123</v>
      </c>
      <c r="F33" t="s">
        <v>124</v>
      </c>
      <c r="G33" t="s">
        <v>117</v>
      </c>
      <c r="H33">
        <v>6</v>
      </c>
      <c r="I33">
        <v>24</v>
      </c>
      <c r="J33">
        <v>31.77068391979736</v>
      </c>
      <c r="K33">
        <v>140.68045326566789</v>
      </c>
      <c r="L33">
        <v>79.369369056075811</v>
      </c>
      <c r="M33">
        <v>136.7087353777606</v>
      </c>
      <c r="N33">
        <v>185.5629254045198</v>
      </c>
      <c r="O33">
        <v>168.49550699262181</v>
      </c>
      <c r="P33">
        <v>90.769521344918758</v>
      </c>
      <c r="Q33">
        <v>90.607449389062822</v>
      </c>
      <c r="R33">
        <v>164.8152594192652</v>
      </c>
      <c r="S33">
        <v>134.17547431017741</v>
      </c>
      <c r="T33">
        <v>138.8386923885264</v>
      </c>
      <c r="U33">
        <v>192.99613465263971</v>
      </c>
      <c r="V33">
        <v>136.7087353777606</v>
      </c>
      <c r="W33" s="6">
        <v>207.47326592415635</v>
      </c>
      <c r="X33" s="6">
        <f t="shared" si="4"/>
        <v>36.773082140872155</v>
      </c>
      <c r="Y33" s="5">
        <v>0.8</v>
      </c>
      <c r="Z33" s="6">
        <f>W33</f>
        <v>207.47326592415635</v>
      </c>
      <c r="AA33" s="6">
        <v>56.424756614886931</v>
      </c>
      <c r="AB33" s="6">
        <v>56.424756614886931</v>
      </c>
      <c r="AC33">
        <v>485.70513016144292</v>
      </c>
      <c r="AD33">
        <v>485.70513016144292</v>
      </c>
      <c r="AE33">
        <v>337.08025234227529</v>
      </c>
      <c r="AF33">
        <v>99</v>
      </c>
      <c r="AG33">
        <v>86.15222632526627</v>
      </c>
      <c r="AH33">
        <v>0</v>
      </c>
      <c r="AI33">
        <v>1659.728256978997</v>
      </c>
      <c r="AJ33">
        <v>276.62137616316608</v>
      </c>
      <c r="AK33">
        <v>0.12977549166397709</v>
      </c>
      <c r="AL33">
        <v>27385.516240153451</v>
      </c>
      <c r="AM33">
        <v>23831.5474056157</v>
      </c>
      <c r="AN33">
        <v>3553.9688345377431</v>
      </c>
      <c r="AO33">
        <v>41844.578301011541</v>
      </c>
      <c r="AP33">
        <v>0.56952533334622246</v>
      </c>
      <c r="AQ33">
        <v>21.070177738178032</v>
      </c>
      <c r="AR33">
        <v>138.31068808158309</v>
      </c>
      <c r="AS33">
        <v>642.96600702430146</v>
      </c>
      <c r="AT33">
        <v>0.4</v>
      </c>
      <c r="AU33">
        <v>1.5</v>
      </c>
      <c r="AW33" s="7">
        <v>0.97</v>
      </c>
    </row>
    <row r="34" spans="1:49" x14ac:dyDescent="0.3">
      <c r="A34" t="s">
        <v>125</v>
      </c>
      <c r="B34" t="s">
        <v>44</v>
      </c>
      <c r="C34" t="s">
        <v>45</v>
      </c>
      <c r="D34" t="s">
        <v>46</v>
      </c>
      <c r="E34" t="s">
        <v>126</v>
      </c>
      <c r="F34" t="s">
        <v>124</v>
      </c>
      <c r="G34" t="s">
        <v>117</v>
      </c>
      <c r="H34">
        <v>6</v>
      </c>
      <c r="I34">
        <v>24</v>
      </c>
      <c r="J34">
        <v>67.650685140537732</v>
      </c>
      <c r="K34">
        <v>141.20889242476551</v>
      </c>
      <c r="L34">
        <v>141.52222471821011</v>
      </c>
      <c r="M34">
        <v>176.55940534168619</v>
      </c>
      <c r="N34">
        <v>112.7601482643513</v>
      </c>
      <c r="O34">
        <v>143.5418145469157</v>
      </c>
      <c r="P34">
        <v>170.01841039600549</v>
      </c>
      <c r="Q34">
        <v>209.31151463300921</v>
      </c>
      <c r="R34">
        <v>116.1054062016774</v>
      </c>
      <c r="S34">
        <v>111.1922248732299</v>
      </c>
      <c r="T34">
        <v>155.86985606787491</v>
      </c>
      <c r="U34">
        <v>147.57274053990841</v>
      </c>
      <c r="V34">
        <v>181.3693817588501</v>
      </c>
      <c r="W34" s="6">
        <v>206.9437055356384</v>
      </c>
      <c r="X34" s="6">
        <f t="shared" si="4"/>
        <v>29.964852945150543</v>
      </c>
      <c r="Y34" s="5">
        <v>0.8</v>
      </c>
      <c r="Z34" s="6">
        <f>W34</f>
        <v>206.9437055356384</v>
      </c>
      <c r="AA34" s="6">
        <v>16.508987701040681</v>
      </c>
      <c r="AB34" s="6">
        <v>16.508987701040681</v>
      </c>
      <c r="AC34">
        <v>833.29874568926061</v>
      </c>
      <c r="AD34">
        <v>833.29874568926061</v>
      </c>
      <c r="AE34">
        <v>77.437022759113461</v>
      </c>
      <c r="AF34">
        <v>89</v>
      </c>
      <c r="AG34">
        <v>73.322244941557059</v>
      </c>
      <c r="AH34">
        <v>0</v>
      </c>
      <c r="AI34">
        <v>1807.0320197664839</v>
      </c>
      <c r="AJ34">
        <v>301.17200329441403</v>
      </c>
      <c r="AK34">
        <v>0.17615455121845999</v>
      </c>
      <c r="AL34">
        <v>26804.308293202848</v>
      </c>
      <c r="AM34">
        <v>22082.607395092451</v>
      </c>
      <c r="AN34">
        <v>4721.7008981103936</v>
      </c>
      <c r="AO34">
        <v>61099.334740920232</v>
      </c>
      <c r="AP34">
        <v>0.36142140481118867</v>
      </c>
      <c r="AQ34">
        <v>33.202239381115128</v>
      </c>
      <c r="AR34">
        <v>150.58600164720701</v>
      </c>
      <c r="AS34">
        <v>2348.884628026216</v>
      </c>
      <c r="AT34">
        <v>0.4</v>
      </c>
      <c r="AU34">
        <v>1.5</v>
      </c>
      <c r="AW34" s="7">
        <v>0.97</v>
      </c>
    </row>
    <row r="35" spans="1:49" x14ac:dyDescent="0.3">
      <c r="A35" t="s">
        <v>127</v>
      </c>
      <c r="B35" t="s">
        <v>52</v>
      </c>
      <c r="C35" t="s">
        <v>45</v>
      </c>
      <c r="D35" t="s">
        <v>53</v>
      </c>
      <c r="E35" t="s">
        <v>128</v>
      </c>
      <c r="F35" t="s">
        <v>124</v>
      </c>
      <c r="G35" t="s">
        <v>117</v>
      </c>
      <c r="H35">
        <v>6</v>
      </c>
      <c r="I35">
        <v>24</v>
      </c>
      <c r="J35">
        <v>49.442121646778773</v>
      </c>
      <c r="K35">
        <v>148.2054077918292</v>
      </c>
      <c r="L35">
        <v>145.52552480963641</v>
      </c>
      <c r="M35">
        <v>70.039044809527695</v>
      </c>
      <c r="N35">
        <v>150.75394837040221</v>
      </c>
      <c r="O35">
        <v>125.4784994365764</v>
      </c>
      <c r="P35">
        <v>154.79265054309511</v>
      </c>
      <c r="Q35">
        <v>140.2604713497567</v>
      </c>
      <c r="R35">
        <v>118.5432385376771</v>
      </c>
      <c r="S35">
        <v>124.63539784803289</v>
      </c>
      <c r="T35">
        <v>147.92717062518929</v>
      </c>
      <c r="U35">
        <v>125.0723645774997</v>
      </c>
      <c r="V35">
        <v>138.0824930187373</v>
      </c>
      <c r="W35" s="6">
        <v>175.77304596083</v>
      </c>
      <c r="X35" s="6">
        <f t="shared" si="4"/>
        <v>23.038162257611337</v>
      </c>
      <c r="Y35" s="5">
        <v>0.8</v>
      </c>
      <c r="Z35" s="6">
        <f>W35</f>
        <v>175.77304596083</v>
      </c>
      <c r="AA35" s="6">
        <v>14.10168767357402</v>
      </c>
      <c r="AB35" s="6">
        <v>14.10168767357402</v>
      </c>
      <c r="AC35">
        <v>171.26682332834861</v>
      </c>
      <c r="AD35">
        <v>171.26682332834861</v>
      </c>
      <c r="AE35">
        <v>206.40348515735241</v>
      </c>
      <c r="AF35">
        <v>99</v>
      </c>
      <c r="AG35">
        <v>77.126071962645341</v>
      </c>
      <c r="AH35">
        <v>0</v>
      </c>
      <c r="AI35">
        <v>1589.31621171796</v>
      </c>
      <c r="AJ35">
        <v>264.88603528632672</v>
      </c>
      <c r="AK35">
        <v>0.2209487680540875</v>
      </c>
      <c r="AL35">
        <v>26223.717493346339</v>
      </c>
      <c r="AM35">
        <v>20429.619419393039</v>
      </c>
      <c r="AN35">
        <v>5794.0980739532961</v>
      </c>
      <c r="AO35">
        <v>13209.13734083588</v>
      </c>
      <c r="AP35">
        <v>1.546627829830729</v>
      </c>
      <c r="AQ35">
        <v>7.7588155136930039</v>
      </c>
      <c r="AR35">
        <v>132.4430176431633</v>
      </c>
      <c r="AS35">
        <v>352.82479637739931</v>
      </c>
      <c r="AT35">
        <v>0.4</v>
      </c>
      <c r="AU35">
        <v>1.5</v>
      </c>
      <c r="AW35" s="7">
        <v>0.97</v>
      </c>
    </row>
    <row r="36" spans="1:49" x14ac:dyDescent="0.3">
      <c r="A36" t="s">
        <v>129</v>
      </c>
      <c r="B36" t="s">
        <v>52</v>
      </c>
      <c r="C36" t="s">
        <v>45</v>
      </c>
      <c r="D36" t="s">
        <v>53</v>
      </c>
      <c r="E36" t="s">
        <v>130</v>
      </c>
      <c r="F36" t="s">
        <v>124</v>
      </c>
      <c r="G36" t="s">
        <v>117</v>
      </c>
      <c r="H36">
        <v>6</v>
      </c>
      <c r="I36">
        <v>24</v>
      </c>
      <c r="J36">
        <v>32.175969725638602</v>
      </c>
      <c r="K36">
        <v>125.59050370909971</v>
      </c>
      <c r="L36">
        <v>179.54805040644709</v>
      </c>
      <c r="M36">
        <v>72.672577667981386</v>
      </c>
      <c r="N36">
        <v>90.865836833836511</v>
      </c>
      <c r="O36">
        <v>178.53967089322401</v>
      </c>
      <c r="P36">
        <v>98.771892377408221</v>
      </c>
      <c r="Q36">
        <v>139.03521145621201</v>
      </c>
      <c r="R36">
        <v>150.69886709752609</v>
      </c>
      <c r="S36">
        <v>141.0650331003126</v>
      </c>
      <c r="T36">
        <v>146.46794321961349</v>
      </c>
      <c r="U36">
        <v>160.08856997941621</v>
      </c>
      <c r="V36">
        <v>97.944070299854502</v>
      </c>
      <c r="W36" s="6">
        <v>197.47345518083807</v>
      </c>
      <c r="X36" s="6">
        <f t="shared" si="4"/>
        <v>34.931762834594338</v>
      </c>
      <c r="Y36" s="5">
        <v>0.8</v>
      </c>
      <c r="Z36" s="6">
        <f>W36</f>
        <v>197.47345518083807</v>
      </c>
      <c r="AA36" s="6">
        <v>65.314188055055382</v>
      </c>
      <c r="AB36" s="6">
        <v>65.314188055055382</v>
      </c>
      <c r="AC36">
        <v>231.47373882259589</v>
      </c>
      <c r="AD36">
        <v>231.47373882259589</v>
      </c>
      <c r="AE36">
        <v>329.37865120766219</v>
      </c>
      <c r="AF36">
        <v>99</v>
      </c>
      <c r="AG36">
        <v>81.31321146275215</v>
      </c>
      <c r="AH36">
        <v>0</v>
      </c>
      <c r="AI36">
        <v>1581.288227040932</v>
      </c>
      <c r="AJ36">
        <v>263.5480378401553</v>
      </c>
      <c r="AK36">
        <v>0.17865442966917019</v>
      </c>
      <c r="AL36">
        <v>26091.255746175371</v>
      </c>
      <c r="AM36">
        <v>21429.937331489949</v>
      </c>
      <c r="AN36">
        <v>4661.318414685421</v>
      </c>
      <c r="AO36">
        <v>18821.873072955601</v>
      </c>
      <c r="AP36">
        <v>1.138565606537947</v>
      </c>
      <c r="AQ36">
        <v>10.5395771056958</v>
      </c>
      <c r="AR36">
        <v>131.77401892007771</v>
      </c>
      <c r="AS36">
        <v>310.32883385984258</v>
      </c>
      <c r="AT36">
        <v>0.4</v>
      </c>
      <c r="AU36">
        <v>1.5</v>
      </c>
      <c r="AW36" s="7">
        <v>0.97</v>
      </c>
    </row>
    <row r="37" spans="1:49" x14ac:dyDescent="0.3">
      <c r="A37" t="s">
        <v>131</v>
      </c>
      <c r="B37" t="s">
        <v>64</v>
      </c>
      <c r="C37" t="s">
        <v>45</v>
      </c>
      <c r="D37" t="s">
        <v>70</v>
      </c>
      <c r="E37" t="s">
        <v>132</v>
      </c>
      <c r="F37" t="s">
        <v>124</v>
      </c>
      <c r="G37" t="s">
        <v>117</v>
      </c>
      <c r="H37">
        <v>6</v>
      </c>
      <c r="I37">
        <v>24</v>
      </c>
      <c r="J37">
        <v>72.033143101290932</v>
      </c>
      <c r="K37">
        <v>148.31577497388929</v>
      </c>
      <c r="L37">
        <v>204.51020115287969</v>
      </c>
      <c r="M37">
        <v>158.55901589602581</v>
      </c>
      <c r="N37">
        <v>178.46395545930139</v>
      </c>
      <c r="O37">
        <v>169.78103227884279</v>
      </c>
      <c r="P37">
        <v>164.7971149999648</v>
      </c>
      <c r="Q37">
        <v>112.625838634267</v>
      </c>
      <c r="R37">
        <v>159.03578438737901</v>
      </c>
      <c r="S37">
        <v>170.87825805574539</v>
      </c>
      <c r="T37">
        <v>192.12970452499579</v>
      </c>
      <c r="U37">
        <v>141.82037981881879</v>
      </c>
      <c r="V37">
        <v>149.86343937052879</v>
      </c>
      <c r="W37" s="6">
        <v>207.68108748641214</v>
      </c>
      <c r="X37" s="6">
        <f t="shared" si="4"/>
        <v>23.98777072693974</v>
      </c>
      <c r="Y37" s="5">
        <v>0.8</v>
      </c>
      <c r="Z37" s="6">
        <f>W37</f>
        <v>207.68108748641214</v>
      </c>
      <c r="AA37" s="6">
        <v>85.856807153538625</v>
      </c>
      <c r="AB37" s="6">
        <v>85.856807153538625</v>
      </c>
      <c r="AC37">
        <v>413.754692220832</v>
      </c>
      <c r="AD37">
        <v>413.754692220832</v>
      </c>
      <c r="AE37">
        <v>143.60730978660291</v>
      </c>
      <c r="AF37">
        <v>80.163274025696595</v>
      </c>
      <c r="AG37">
        <v>60</v>
      </c>
      <c r="AH37">
        <v>0</v>
      </c>
      <c r="AI37">
        <v>1950.780499552639</v>
      </c>
      <c r="AJ37">
        <v>325.13008325877308</v>
      </c>
      <c r="AK37">
        <v>0.25152757632171052</v>
      </c>
      <c r="AL37">
        <v>26063.491958270581</v>
      </c>
      <c r="AM37">
        <v>19507.804995526389</v>
      </c>
      <c r="AN37">
        <v>6555.6869627441902</v>
      </c>
      <c r="AO37">
        <v>24825.281533249919</v>
      </c>
      <c r="AP37">
        <v>0.78580397847244821</v>
      </c>
      <c r="AQ37">
        <v>15.27098402241131</v>
      </c>
      <c r="AR37">
        <v>162.56504162938651</v>
      </c>
      <c r="AS37">
        <v>1241.8354563989069</v>
      </c>
      <c r="AT37">
        <v>0.4</v>
      </c>
      <c r="AU37">
        <v>1.5</v>
      </c>
      <c r="AW37" s="7">
        <v>0.97</v>
      </c>
    </row>
    <row r="38" spans="1:49" x14ac:dyDescent="0.3">
      <c r="A38">
        <v>28260020</v>
      </c>
      <c r="B38" t="s">
        <v>56</v>
      </c>
      <c r="C38" t="s">
        <v>133</v>
      </c>
      <c r="D38" t="s">
        <v>134</v>
      </c>
      <c r="E38" t="s">
        <v>135</v>
      </c>
      <c r="F38" t="s">
        <v>124</v>
      </c>
      <c r="G38" t="s">
        <v>117</v>
      </c>
      <c r="H38">
        <v>6</v>
      </c>
      <c r="I38">
        <v>24</v>
      </c>
      <c r="J38">
        <v>69.75280007324443</v>
      </c>
      <c r="K38">
        <v>143.82803252956359</v>
      </c>
      <c r="L38">
        <v>176.49494490469809</v>
      </c>
      <c r="M38">
        <v>182.2961795973242</v>
      </c>
      <c r="N38">
        <v>139.27528395142869</v>
      </c>
      <c r="O38">
        <v>146.39400130035941</v>
      </c>
      <c r="P38">
        <v>134.6090304345125</v>
      </c>
      <c r="Q38">
        <v>115.6805812264793</v>
      </c>
      <c r="R38">
        <v>170.0413296624902</v>
      </c>
      <c r="S38">
        <v>146.26681983500021</v>
      </c>
      <c r="T38">
        <v>160.77853539754869</v>
      </c>
      <c r="U38">
        <v>164.0346401167335</v>
      </c>
      <c r="V38">
        <v>168.2850726559991</v>
      </c>
      <c r="W38" s="6">
        <v>179.03165202697022</v>
      </c>
      <c r="X38" s="6">
        <f t="shared" si="4"/>
        <v>19.533312898978711</v>
      </c>
      <c r="Y38" s="5">
        <v>0.8</v>
      </c>
      <c r="Z38" s="6">
        <f>W38</f>
        <v>179.03165202697022</v>
      </c>
      <c r="AA38" s="6">
        <v>25.28122806482131</v>
      </c>
      <c r="AB38" s="6">
        <v>25.28122806482131</v>
      </c>
      <c r="AC38">
        <v>522.96212652974032</v>
      </c>
      <c r="AD38">
        <v>522.96212652974032</v>
      </c>
      <c r="AE38">
        <v>245.87942056678</v>
      </c>
      <c r="AF38">
        <v>83.896298104800564</v>
      </c>
      <c r="AG38">
        <v>44.065981017487097</v>
      </c>
      <c r="AH38">
        <v>0</v>
      </c>
      <c r="AI38">
        <v>1847.984451612137</v>
      </c>
      <c r="AJ38">
        <v>307.99740860202292</v>
      </c>
      <c r="AK38">
        <v>0.47475655049235549</v>
      </c>
      <c r="AL38">
        <v>25839.842407581378</v>
      </c>
      <c r="AM38">
        <v>13572.207960891959</v>
      </c>
      <c r="AN38">
        <v>12267.634446689421</v>
      </c>
      <c r="AO38">
        <v>23044.839140524229</v>
      </c>
      <c r="AP38">
        <v>0.58894782810721846</v>
      </c>
      <c r="AQ38">
        <v>20.375319217265861</v>
      </c>
      <c r="AR38">
        <v>153.99870430101149</v>
      </c>
      <c r="AS38">
        <v>1519.9196940711549</v>
      </c>
      <c r="AT38">
        <v>0.4</v>
      </c>
      <c r="AU38">
        <v>0.5</v>
      </c>
      <c r="AW38" s="7">
        <v>0.9</v>
      </c>
    </row>
    <row r="39" spans="1:49" x14ac:dyDescent="0.3">
      <c r="A39" t="s">
        <v>136</v>
      </c>
      <c r="B39" t="s">
        <v>56</v>
      </c>
      <c r="C39" t="s">
        <v>133</v>
      </c>
      <c r="D39" t="s">
        <v>57</v>
      </c>
      <c r="E39" t="s">
        <v>137</v>
      </c>
      <c r="F39" t="s">
        <v>124</v>
      </c>
      <c r="G39" t="s">
        <v>117</v>
      </c>
      <c r="H39">
        <v>6</v>
      </c>
      <c r="I39">
        <v>24</v>
      </c>
      <c r="J39">
        <v>83.432416760765406</v>
      </c>
      <c r="K39">
        <v>139.31198206264531</v>
      </c>
      <c r="L39">
        <v>150.27196165319759</v>
      </c>
      <c r="M39">
        <v>142.46402921926349</v>
      </c>
      <c r="N39">
        <v>138.68115653749561</v>
      </c>
      <c r="O39">
        <v>125.10155935742659</v>
      </c>
      <c r="P39">
        <v>114.39532878866881</v>
      </c>
      <c r="Q39">
        <v>167.69715254340551</v>
      </c>
      <c r="R39">
        <v>116.7366409994429</v>
      </c>
      <c r="S39">
        <v>191.3148427469423</v>
      </c>
      <c r="T39">
        <v>197.27617124444811</v>
      </c>
      <c r="U39">
        <v>211.86673999764031</v>
      </c>
      <c r="V39">
        <v>134.70057107624601</v>
      </c>
      <c r="W39" s="6">
        <v>193.98651555502894</v>
      </c>
      <c r="X39" s="6">
        <f t="shared" si="4"/>
        <v>32.383925848371277</v>
      </c>
      <c r="Y39" s="5">
        <v>0.8</v>
      </c>
      <c r="Z39" s="6">
        <f>W39</f>
        <v>193.98651555502894</v>
      </c>
      <c r="AA39" s="6">
        <v>60.340891750846893</v>
      </c>
      <c r="AB39" s="6">
        <v>60.340891750846893</v>
      </c>
      <c r="AC39">
        <v>275.34714804528949</v>
      </c>
      <c r="AD39">
        <v>275.34714804528949</v>
      </c>
      <c r="AE39">
        <v>168.69890436646531</v>
      </c>
      <c r="AF39">
        <v>82.887966551713617</v>
      </c>
      <c r="AG39">
        <v>16.196478164006471</v>
      </c>
      <c r="AH39">
        <v>0</v>
      </c>
      <c r="AI39">
        <v>1829.8181362268219</v>
      </c>
      <c r="AJ39">
        <v>304.96968937113712</v>
      </c>
      <c r="AK39">
        <v>0.80459795507347232</v>
      </c>
      <c r="AL39">
        <v>25278.3174118813</v>
      </c>
      <c r="AM39">
        <v>4939.4349145834576</v>
      </c>
      <c r="AN39">
        <v>20338.88249729784</v>
      </c>
      <c r="AO39">
        <v>4459.6540708369876</v>
      </c>
      <c r="AP39">
        <v>1.107582524591739</v>
      </c>
      <c r="AQ39">
        <v>10.834407128645569</v>
      </c>
      <c r="AR39">
        <v>152.4848446855685</v>
      </c>
      <c r="AS39">
        <v>957.20325040011528</v>
      </c>
      <c r="AT39">
        <v>0.4</v>
      </c>
      <c r="AU39">
        <v>0.5</v>
      </c>
      <c r="AW39" s="7">
        <v>0.9</v>
      </c>
    </row>
    <row r="40" spans="1:49" x14ac:dyDescent="0.3">
      <c r="A40" t="s">
        <v>138</v>
      </c>
      <c r="B40" t="s">
        <v>52</v>
      </c>
      <c r="C40" t="s">
        <v>133</v>
      </c>
      <c r="D40" t="s">
        <v>53</v>
      </c>
      <c r="E40" t="s">
        <v>139</v>
      </c>
      <c r="F40" t="s">
        <v>124</v>
      </c>
      <c r="G40" t="s">
        <v>117</v>
      </c>
      <c r="H40">
        <v>6</v>
      </c>
      <c r="I40">
        <v>24</v>
      </c>
      <c r="J40">
        <v>59.906308175908691</v>
      </c>
      <c r="K40">
        <v>140.0546072240104</v>
      </c>
      <c r="L40">
        <v>178.09888428600971</v>
      </c>
      <c r="M40">
        <v>89.821645966731012</v>
      </c>
      <c r="N40">
        <v>177.02099664020349</v>
      </c>
      <c r="O40">
        <v>154.57198439107739</v>
      </c>
      <c r="P40">
        <v>158.71450538397769</v>
      </c>
      <c r="Q40">
        <v>111.7575667798519</v>
      </c>
      <c r="R40">
        <v>163.05876367041489</v>
      </c>
      <c r="S40">
        <v>147.49675225757531</v>
      </c>
      <c r="T40">
        <v>136.1162450542906</v>
      </c>
      <c r="U40">
        <v>130.4437265993329</v>
      </c>
      <c r="V40">
        <v>165.2915845319512</v>
      </c>
      <c r="W40" s="6">
        <v>179.71585223517022</v>
      </c>
      <c r="X40" s="6">
        <f t="shared" si="4"/>
        <v>26.279535870312714</v>
      </c>
      <c r="Y40" s="5">
        <v>0.8</v>
      </c>
      <c r="Z40" s="6">
        <f>W40</f>
        <v>179.71585223517022</v>
      </c>
      <c r="AA40" s="6">
        <v>81.288796655171353</v>
      </c>
      <c r="AB40" s="6">
        <v>81.288796655171353</v>
      </c>
      <c r="AC40">
        <v>671.74596392712169</v>
      </c>
      <c r="AD40">
        <v>671.74596392712169</v>
      </c>
      <c r="AE40">
        <v>255.17741227668009</v>
      </c>
      <c r="AF40">
        <v>86.14734336375011</v>
      </c>
      <c r="AG40">
        <v>72.936490981780452</v>
      </c>
      <c r="AH40">
        <v>0</v>
      </c>
      <c r="AI40">
        <v>1752.447262785427</v>
      </c>
      <c r="AJ40">
        <v>292.0745437975711</v>
      </c>
      <c r="AK40">
        <v>0.15335182567601549</v>
      </c>
      <c r="AL40">
        <v>25161.446012340031</v>
      </c>
      <c r="AM40">
        <v>21302.892329699189</v>
      </c>
      <c r="AN40">
        <v>3858.5536826408429</v>
      </c>
      <c r="AO40">
        <v>48994.793440017929</v>
      </c>
      <c r="AP40">
        <v>0.4347991048432388</v>
      </c>
      <c r="AQ40">
        <v>27.598952864280719</v>
      </c>
      <c r="AR40">
        <v>146.03727189878549</v>
      </c>
      <c r="AS40">
        <v>1676.7425304558751</v>
      </c>
      <c r="AT40">
        <v>0.4</v>
      </c>
      <c r="AU40">
        <v>0.5</v>
      </c>
      <c r="AW40" s="7">
        <v>0.9</v>
      </c>
    </row>
    <row r="41" spans="1:49" x14ac:dyDescent="0.3">
      <c r="A41" t="s">
        <v>140</v>
      </c>
      <c r="B41" t="s">
        <v>64</v>
      </c>
      <c r="C41" t="s">
        <v>133</v>
      </c>
      <c r="D41" t="s">
        <v>65</v>
      </c>
      <c r="E41" t="s">
        <v>141</v>
      </c>
      <c r="F41" t="s">
        <v>124</v>
      </c>
      <c r="G41" t="s">
        <v>117</v>
      </c>
      <c r="H41">
        <v>6</v>
      </c>
      <c r="I41">
        <v>24</v>
      </c>
      <c r="J41">
        <v>25.735343485824149</v>
      </c>
      <c r="K41">
        <v>122.9411456428352</v>
      </c>
      <c r="L41">
        <v>159.4280039775185</v>
      </c>
      <c r="M41">
        <v>82.656101009342819</v>
      </c>
      <c r="N41">
        <v>142.6225882518338</v>
      </c>
      <c r="O41">
        <v>79.072509985417128</v>
      </c>
      <c r="P41">
        <v>74.106668913736939</v>
      </c>
      <c r="Q41">
        <v>159.66698507909311</v>
      </c>
      <c r="R41">
        <v>131.0863869242894</v>
      </c>
      <c r="S41">
        <v>138.9787659412832</v>
      </c>
      <c r="T41">
        <v>99.133143672952428</v>
      </c>
      <c r="U41">
        <v>160.0594434115919</v>
      </c>
      <c r="V41">
        <v>172.51490514026949</v>
      </c>
      <c r="W41" s="6">
        <v>171.8202545199316</v>
      </c>
      <c r="X41" s="6">
        <f t="shared" si="4"/>
        <v>35.08614224584602</v>
      </c>
      <c r="Y41" s="5">
        <v>0.8</v>
      </c>
      <c r="Z41" s="6">
        <f>W41</f>
        <v>171.8202545199316</v>
      </c>
      <c r="AA41" s="6">
        <v>40.633259071626938</v>
      </c>
      <c r="AB41" s="6">
        <v>40.633259071626938</v>
      </c>
      <c r="AC41">
        <v>827.3415326395459</v>
      </c>
      <c r="AD41">
        <v>827.3415326395459</v>
      </c>
      <c r="AE41">
        <v>220.7441702412325</v>
      </c>
      <c r="AF41">
        <v>99</v>
      </c>
      <c r="AG41">
        <v>66.727805413983589</v>
      </c>
      <c r="AH41">
        <v>0</v>
      </c>
      <c r="AI41">
        <v>1522.266647950164</v>
      </c>
      <c r="AJ41">
        <v>253.71110799169401</v>
      </c>
      <c r="AK41">
        <v>0.32598176349511532</v>
      </c>
      <c r="AL41">
        <v>25117.39969117771</v>
      </c>
      <c r="AM41">
        <v>16929.58544543594</v>
      </c>
      <c r="AN41">
        <v>8187.8142457417734</v>
      </c>
      <c r="AO41">
        <v>55206.684800878567</v>
      </c>
      <c r="AP41">
        <v>0.30665825174067529</v>
      </c>
      <c r="AQ41">
        <v>39.131508550266453</v>
      </c>
      <c r="AR41">
        <v>126.855553995847</v>
      </c>
      <c r="AS41">
        <v>887.1632717736212</v>
      </c>
      <c r="AT41">
        <v>0.4</v>
      </c>
      <c r="AU41">
        <v>0.5</v>
      </c>
      <c r="AW41" s="7">
        <v>0.9</v>
      </c>
    </row>
    <row r="42" spans="1:49" x14ac:dyDescent="0.3">
      <c r="A42" t="s">
        <v>142</v>
      </c>
      <c r="B42" t="s">
        <v>52</v>
      </c>
      <c r="C42" t="s">
        <v>133</v>
      </c>
      <c r="D42" t="s">
        <v>53</v>
      </c>
      <c r="E42" t="s">
        <v>143</v>
      </c>
      <c r="F42" t="s">
        <v>124</v>
      </c>
      <c r="G42" t="s">
        <v>117</v>
      </c>
      <c r="H42">
        <v>6</v>
      </c>
      <c r="I42">
        <v>24</v>
      </c>
      <c r="J42">
        <v>64.413281655323956</v>
      </c>
      <c r="K42">
        <v>157.91553702583769</v>
      </c>
      <c r="L42">
        <v>124.8871687188512</v>
      </c>
      <c r="M42">
        <v>136.34571056754791</v>
      </c>
      <c r="N42">
        <v>160.38774826156441</v>
      </c>
      <c r="O42">
        <v>185.99286628741541</v>
      </c>
      <c r="P42">
        <v>143.75770585174911</v>
      </c>
      <c r="Q42">
        <v>224.1662006475963</v>
      </c>
      <c r="R42">
        <v>124.0498651590315</v>
      </c>
      <c r="S42">
        <v>204.2609541298589</v>
      </c>
      <c r="T42">
        <v>155.5824102673796</v>
      </c>
      <c r="U42">
        <v>139.47077983757481</v>
      </c>
      <c r="V42">
        <v>149.57196905597809</v>
      </c>
      <c r="W42" s="6">
        <v>198.72214236512679</v>
      </c>
      <c r="X42" s="6">
        <f t="shared" si="4"/>
        <v>31.100113684454847</v>
      </c>
      <c r="Y42" s="5">
        <v>0.8</v>
      </c>
      <c r="Z42" s="6">
        <f>W42</f>
        <v>198.72214236512679</v>
      </c>
      <c r="AA42" s="6">
        <v>39.30265205847347</v>
      </c>
      <c r="AB42" s="6">
        <v>39.30265205847347</v>
      </c>
      <c r="AC42">
        <v>109.1067232276376</v>
      </c>
      <c r="AD42">
        <v>109.1067232276376</v>
      </c>
      <c r="AE42">
        <v>163.8103703444358</v>
      </c>
      <c r="AF42">
        <v>78.915677358317822</v>
      </c>
      <c r="AG42">
        <v>38.990142521439253</v>
      </c>
      <c r="AH42">
        <v>0</v>
      </c>
      <c r="AI42">
        <v>1906.388915810385</v>
      </c>
      <c r="AJ42">
        <v>317.73148596839752</v>
      </c>
      <c r="AK42">
        <v>0.50592653035969115</v>
      </c>
      <c r="AL42">
        <v>25073.995433260941</v>
      </c>
      <c r="AM42">
        <v>12388.395921456489</v>
      </c>
      <c r="AN42">
        <v>12685.59951180445</v>
      </c>
      <c r="AO42">
        <v>4254.0866886928152</v>
      </c>
      <c r="AP42">
        <v>2.9121164724697159</v>
      </c>
      <c r="AQ42">
        <v>4.1207143029629609</v>
      </c>
      <c r="AR42">
        <v>158.8657429841987</v>
      </c>
      <c r="AS42">
        <v>292.83008723963729</v>
      </c>
      <c r="AT42">
        <v>0.4</v>
      </c>
      <c r="AU42">
        <v>0.5</v>
      </c>
      <c r="AW42" s="7">
        <v>0.9</v>
      </c>
    </row>
    <row r="43" spans="1:49" x14ac:dyDescent="0.3">
      <c r="A43" t="s">
        <v>144</v>
      </c>
      <c r="B43" t="s">
        <v>56</v>
      </c>
      <c r="C43" t="s">
        <v>133</v>
      </c>
      <c r="D43" t="s">
        <v>57</v>
      </c>
      <c r="E43" t="s">
        <v>145</v>
      </c>
      <c r="F43" t="s">
        <v>124</v>
      </c>
      <c r="G43" t="s">
        <v>117</v>
      </c>
      <c r="H43">
        <v>6</v>
      </c>
      <c r="I43">
        <v>24</v>
      </c>
      <c r="J43">
        <v>32.161320841090117</v>
      </c>
      <c r="K43">
        <v>172.11842229371541</v>
      </c>
      <c r="L43">
        <v>170.88409019052051</v>
      </c>
      <c r="M43">
        <v>181.3377313432284</v>
      </c>
      <c r="N43">
        <v>144.1488340482465</v>
      </c>
      <c r="O43">
        <v>154.6532591113646</v>
      </c>
      <c r="P43">
        <v>178.8952605842496</v>
      </c>
      <c r="Q43">
        <v>168.64564183051701</v>
      </c>
      <c r="R43">
        <v>105.48137121659239</v>
      </c>
      <c r="S43">
        <v>192.43959210725731</v>
      </c>
      <c r="T43">
        <v>139.21409769536689</v>
      </c>
      <c r="U43">
        <v>178.04561063385341</v>
      </c>
      <c r="V43">
        <v>133.16678784249231</v>
      </c>
      <c r="W43" s="6">
        <v>192.09633796783118</v>
      </c>
      <c r="X43" s="6">
        <f t="shared" si="4"/>
        <v>25.107934729134609</v>
      </c>
      <c r="Y43" s="5">
        <v>0.8</v>
      </c>
      <c r="Z43" s="6">
        <f>W43</f>
        <v>192.09633796783118</v>
      </c>
      <c r="AA43" s="6">
        <v>80.842005676442767</v>
      </c>
      <c r="AB43" s="6">
        <v>80.842005676442767</v>
      </c>
      <c r="AC43">
        <v>431.74840540787977</v>
      </c>
      <c r="AD43">
        <v>431.74840540787977</v>
      </c>
      <c r="AE43">
        <v>333.40589374711271</v>
      </c>
      <c r="AF43">
        <v>75</v>
      </c>
      <c r="AG43">
        <v>70.089724417859429</v>
      </c>
      <c r="AH43">
        <v>0</v>
      </c>
      <c r="AI43">
        <v>1919.0306988974039</v>
      </c>
      <c r="AJ43">
        <v>319.83844981623412</v>
      </c>
      <c r="AK43">
        <v>6.5470341095207607E-2</v>
      </c>
      <c r="AL43">
        <v>23987.883736217551</v>
      </c>
      <c r="AM43">
        <v>22417.388805855211</v>
      </c>
      <c r="AN43">
        <v>1570.4949303623459</v>
      </c>
      <c r="AO43">
        <v>30261.126752888551</v>
      </c>
      <c r="AP43">
        <v>0.74079821907871879</v>
      </c>
      <c r="AQ43">
        <v>16.19874304628269</v>
      </c>
      <c r="AR43">
        <v>159.919224908117</v>
      </c>
      <c r="AS43">
        <v>578.56662453966135</v>
      </c>
      <c r="AT43">
        <v>0.4</v>
      </c>
      <c r="AU43">
        <v>0.5</v>
      </c>
      <c r="AW43" s="7">
        <v>0.9</v>
      </c>
    </row>
    <row r="44" spans="1:49" x14ac:dyDescent="0.3">
      <c r="A44" t="s">
        <v>146</v>
      </c>
      <c r="B44" t="s">
        <v>64</v>
      </c>
      <c r="C44" t="s">
        <v>133</v>
      </c>
      <c r="D44" t="s">
        <v>65</v>
      </c>
      <c r="E44" t="s">
        <v>147</v>
      </c>
      <c r="F44" t="s">
        <v>124</v>
      </c>
      <c r="G44" t="s">
        <v>117</v>
      </c>
      <c r="H44">
        <v>6</v>
      </c>
      <c r="I44">
        <v>24</v>
      </c>
      <c r="J44">
        <v>57.352519302957248</v>
      </c>
      <c r="K44">
        <v>170.02700512093719</v>
      </c>
      <c r="L44">
        <v>133.95617240021241</v>
      </c>
      <c r="M44">
        <v>169.79245780603381</v>
      </c>
      <c r="N44">
        <v>142.34080405585701</v>
      </c>
      <c r="O44">
        <v>108.13318491855171</v>
      </c>
      <c r="P44">
        <v>162.75416252610739</v>
      </c>
      <c r="Q44">
        <v>179.7988663078286</v>
      </c>
      <c r="R44">
        <v>157.49807895772389</v>
      </c>
      <c r="S44">
        <v>174.72078222126581</v>
      </c>
      <c r="T44">
        <v>135.04456470982399</v>
      </c>
      <c r="U44">
        <v>141.51744987102569</v>
      </c>
      <c r="V44">
        <v>221.3471308699809</v>
      </c>
      <c r="W44" s="6">
        <v>195.10524025063538</v>
      </c>
      <c r="X44" s="6">
        <f t="shared" si="4"/>
        <v>28.892856335792022</v>
      </c>
      <c r="Y44" s="5">
        <v>0.8</v>
      </c>
      <c r="Z44" s="6">
        <f>W44</f>
        <v>195.10524025063538</v>
      </c>
      <c r="AA44" s="6">
        <v>24.194769127475819</v>
      </c>
      <c r="AB44" s="6">
        <v>24.194769127475819</v>
      </c>
      <c r="AC44">
        <v>313.92254402294992</v>
      </c>
      <c r="AD44">
        <v>313.92254402294992</v>
      </c>
      <c r="AE44">
        <v>355.78833098406898</v>
      </c>
      <c r="AF44">
        <v>75</v>
      </c>
      <c r="AG44">
        <v>59.266640217291787</v>
      </c>
      <c r="AH44">
        <v>0</v>
      </c>
      <c r="AI44">
        <v>1896.930659765349</v>
      </c>
      <c r="AJ44">
        <v>316.15510996089142</v>
      </c>
      <c r="AK44">
        <v>0.20977813043610941</v>
      </c>
      <c r="AL44">
        <v>23711.63324706686</v>
      </c>
      <c r="AM44">
        <v>18737.451154910479</v>
      </c>
      <c r="AN44">
        <v>4974.1820921563794</v>
      </c>
      <c r="AO44">
        <v>18605.134472705118</v>
      </c>
      <c r="AP44">
        <v>1.007111836917894</v>
      </c>
      <c r="AQ44">
        <v>11.91526060970955</v>
      </c>
      <c r="AR44">
        <v>158.07755498044571</v>
      </c>
      <c r="AS44">
        <v>750.17703190457007</v>
      </c>
      <c r="AT44">
        <v>0.4</v>
      </c>
      <c r="AU44">
        <v>0.5</v>
      </c>
      <c r="AW44" s="7">
        <v>0.9</v>
      </c>
    </row>
    <row r="45" spans="1:49" x14ac:dyDescent="0.3">
      <c r="A45" t="s">
        <v>148</v>
      </c>
      <c r="B45" t="s">
        <v>44</v>
      </c>
      <c r="C45" t="s">
        <v>133</v>
      </c>
      <c r="D45" t="s">
        <v>79</v>
      </c>
      <c r="E45" t="s">
        <v>149</v>
      </c>
      <c r="F45" t="s">
        <v>124</v>
      </c>
      <c r="G45" t="s">
        <v>117</v>
      </c>
      <c r="H45">
        <v>6</v>
      </c>
      <c r="I45">
        <v>24</v>
      </c>
      <c r="J45">
        <v>22.10486159855953</v>
      </c>
      <c r="K45">
        <v>137.255898759031</v>
      </c>
      <c r="L45">
        <v>121.5504372943542</v>
      </c>
      <c r="M45">
        <v>126.355877606693</v>
      </c>
      <c r="N45">
        <v>163.53474772258781</v>
      </c>
      <c r="O45">
        <v>133.4267100595753</v>
      </c>
      <c r="P45">
        <v>163.56779648631351</v>
      </c>
      <c r="Q45">
        <v>165.03080966358539</v>
      </c>
      <c r="R45">
        <v>90.977431833744049</v>
      </c>
      <c r="S45">
        <v>164.84377207816581</v>
      </c>
      <c r="T45">
        <v>170.31472376984311</v>
      </c>
      <c r="U45">
        <v>171.09513843606689</v>
      </c>
      <c r="V45">
        <v>155.7833631217363</v>
      </c>
      <c r="W45" s="6">
        <v>179.038426011581</v>
      </c>
      <c r="X45" s="6">
        <f t="shared" si="4"/>
        <v>25.016837379708065</v>
      </c>
      <c r="Y45" s="5">
        <v>0.8</v>
      </c>
      <c r="Z45" s="6">
        <f>W45</f>
        <v>179.038426011581</v>
      </c>
      <c r="AA45" s="6">
        <v>61.087984862819297</v>
      </c>
      <c r="AB45" s="6">
        <v>61.087984862819297</v>
      </c>
      <c r="AC45">
        <v>788.47315897091585</v>
      </c>
      <c r="AD45">
        <v>788.47315897091585</v>
      </c>
      <c r="AE45">
        <v>329.08533916634042</v>
      </c>
      <c r="AF45">
        <v>80.512405774101993</v>
      </c>
      <c r="AG45">
        <v>45.511337626270333</v>
      </c>
      <c r="AH45">
        <v>0</v>
      </c>
      <c r="AI45">
        <v>1763.736706831696</v>
      </c>
      <c r="AJ45">
        <v>293.9561178052827</v>
      </c>
      <c r="AK45">
        <v>0.43472888198169168</v>
      </c>
      <c r="AL45">
        <v>23667.11423651865</v>
      </c>
      <c r="AM45">
        <v>13378.336124743921</v>
      </c>
      <c r="AN45">
        <v>10288.778111774731</v>
      </c>
      <c r="AO45">
        <v>35884.468147177271</v>
      </c>
      <c r="AP45">
        <v>0.37281689866138579</v>
      </c>
      <c r="AQ45">
        <v>32.187382178990497</v>
      </c>
      <c r="AR45">
        <v>146.97805890264141</v>
      </c>
      <c r="AS45">
        <v>726.2120855512967</v>
      </c>
      <c r="AT45">
        <v>0.4</v>
      </c>
      <c r="AU45">
        <v>0.5</v>
      </c>
      <c r="AW45" s="7">
        <v>0.9</v>
      </c>
    </row>
    <row r="46" spans="1:49" x14ac:dyDescent="0.3">
      <c r="A46" t="s">
        <v>150</v>
      </c>
      <c r="B46" t="s">
        <v>52</v>
      </c>
      <c r="C46" t="s">
        <v>133</v>
      </c>
      <c r="D46" t="s">
        <v>86</v>
      </c>
      <c r="E46" t="s">
        <v>151</v>
      </c>
      <c r="F46" t="s">
        <v>124</v>
      </c>
      <c r="G46" t="s">
        <v>152</v>
      </c>
      <c r="H46">
        <v>6</v>
      </c>
      <c r="I46">
        <v>24</v>
      </c>
      <c r="J46">
        <v>24.543900875881221</v>
      </c>
      <c r="K46">
        <v>164.53845470678061</v>
      </c>
      <c r="L46">
        <v>91.569785733008757</v>
      </c>
      <c r="M46">
        <v>116.2527443433646</v>
      </c>
      <c r="N46">
        <v>190.15523700218179</v>
      </c>
      <c r="O46">
        <v>142.37163592624711</v>
      </c>
      <c r="P46">
        <v>159.56067651713971</v>
      </c>
      <c r="Q46">
        <v>178.0313543044031</v>
      </c>
      <c r="R46">
        <v>125.7975956526934</v>
      </c>
      <c r="S46">
        <v>171.40782271453651</v>
      </c>
      <c r="T46">
        <v>149.89788648235839</v>
      </c>
      <c r="U46">
        <v>104.34563970775341</v>
      </c>
      <c r="V46">
        <v>164.052579899726</v>
      </c>
      <c r="W46" s="6">
        <v>186.07567024012963</v>
      </c>
      <c r="X46" s="6">
        <f t="shared" si="4"/>
        <v>30.882268198700977</v>
      </c>
      <c r="Y46" s="5">
        <v>0.8</v>
      </c>
      <c r="Z46" s="6">
        <f>W46</f>
        <v>186.07567024012963</v>
      </c>
      <c r="AA46" s="6">
        <v>84.135563219092376</v>
      </c>
      <c r="AB46" s="6">
        <v>84.135563219092376</v>
      </c>
      <c r="AC46">
        <v>208.10876796777251</v>
      </c>
      <c r="AD46">
        <v>208.10876796777251</v>
      </c>
      <c r="AE46">
        <v>216.27434484253169</v>
      </c>
      <c r="AF46">
        <v>80.378124332407609</v>
      </c>
      <c r="AG46">
        <v>30.05432294686727</v>
      </c>
      <c r="AH46">
        <v>0</v>
      </c>
      <c r="AI46">
        <v>1757.9814129901929</v>
      </c>
      <c r="AJ46">
        <v>292.99690216503222</v>
      </c>
      <c r="AK46">
        <v>0.62608827717133364</v>
      </c>
      <c r="AL46">
        <v>23550.541431231231</v>
      </c>
      <c r="AM46">
        <v>8805.8235200995532</v>
      </c>
      <c r="AN46">
        <v>14744.717911131669</v>
      </c>
      <c r="AO46">
        <v>6254.5681205781002</v>
      </c>
      <c r="AP46">
        <v>1.4079027281080509</v>
      </c>
      <c r="AQ46">
        <v>8.523316107303577</v>
      </c>
      <c r="AR46">
        <v>146.49845108251611</v>
      </c>
      <c r="AS46">
        <v>212.82504051678211</v>
      </c>
      <c r="AT46">
        <v>0.4</v>
      </c>
      <c r="AU46">
        <v>0.5</v>
      </c>
      <c r="AW46" s="7">
        <v>0.9</v>
      </c>
    </row>
    <row r="47" spans="1:49" x14ac:dyDescent="0.3">
      <c r="A47" t="s">
        <v>153</v>
      </c>
      <c r="B47" t="s">
        <v>56</v>
      </c>
      <c r="C47" t="s">
        <v>133</v>
      </c>
      <c r="D47" t="s">
        <v>57</v>
      </c>
      <c r="E47" t="s">
        <v>154</v>
      </c>
      <c r="F47" t="s">
        <v>124</v>
      </c>
      <c r="G47" t="s">
        <v>152</v>
      </c>
      <c r="H47">
        <v>6</v>
      </c>
      <c r="I47">
        <v>24</v>
      </c>
      <c r="J47">
        <v>58.62208929715873</v>
      </c>
      <c r="K47">
        <v>113.99765223031859</v>
      </c>
      <c r="L47">
        <v>88.662040221970528</v>
      </c>
      <c r="M47">
        <v>185.95521320676201</v>
      </c>
      <c r="N47">
        <v>163.9834810397588</v>
      </c>
      <c r="O47">
        <v>129.56099377915959</v>
      </c>
      <c r="P47">
        <v>179.8326995107345</v>
      </c>
      <c r="Q47">
        <v>125.1727045804728</v>
      </c>
      <c r="R47">
        <v>110.30649072054079</v>
      </c>
      <c r="S47">
        <v>172.94607384101249</v>
      </c>
      <c r="T47">
        <v>132.9082980795647</v>
      </c>
      <c r="U47">
        <v>168.41788161982549</v>
      </c>
      <c r="V47">
        <v>99.325228953966871</v>
      </c>
      <c r="W47" s="6">
        <v>182.26123166696325</v>
      </c>
      <c r="X47" s="6">
        <f t="shared" si="4"/>
        <v>33.557371398744507</v>
      </c>
      <c r="Y47" s="5">
        <v>0.8</v>
      </c>
      <c r="Z47" s="6">
        <f>W47</f>
        <v>182.26123166696325</v>
      </c>
      <c r="AA47" s="6">
        <v>58.619647816400651</v>
      </c>
      <c r="AB47" s="6">
        <v>58.619647816400651</v>
      </c>
      <c r="AC47">
        <v>898.04681539353612</v>
      </c>
      <c r="AD47">
        <v>898.04681539353612</v>
      </c>
      <c r="AE47">
        <v>91.773842490511015</v>
      </c>
      <c r="AF47">
        <v>84.513992736594744</v>
      </c>
      <c r="AG47">
        <v>41.221655934324168</v>
      </c>
      <c r="AH47">
        <v>0</v>
      </c>
      <c r="AI47">
        <v>1671.068757784087</v>
      </c>
      <c r="AJ47">
        <v>278.5114596306812</v>
      </c>
      <c r="AK47">
        <v>0.51225052089539846</v>
      </c>
      <c r="AL47">
        <v>23538.115476285791</v>
      </c>
      <c r="AM47">
        <v>11480.70356266236</v>
      </c>
      <c r="AN47">
        <v>12057.411913623429</v>
      </c>
      <c r="AO47">
        <v>37018.976837067879</v>
      </c>
      <c r="AP47">
        <v>0.31013022356594377</v>
      </c>
      <c r="AQ47">
        <v>38.693423240151922</v>
      </c>
      <c r="AR47">
        <v>139.2557298153406</v>
      </c>
      <c r="AS47">
        <v>2193.5575252095368</v>
      </c>
      <c r="AT47">
        <v>0.4</v>
      </c>
      <c r="AU47">
        <v>0.5</v>
      </c>
      <c r="AW47" s="7">
        <v>0.9</v>
      </c>
    </row>
    <row r="48" spans="1:49" x14ac:dyDescent="0.3">
      <c r="A48" t="s">
        <v>155</v>
      </c>
      <c r="B48" t="s">
        <v>44</v>
      </c>
      <c r="C48" t="s">
        <v>133</v>
      </c>
      <c r="D48" t="s">
        <v>79</v>
      </c>
      <c r="E48" t="s">
        <v>156</v>
      </c>
      <c r="F48" t="s">
        <v>124</v>
      </c>
      <c r="G48" t="s">
        <v>152</v>
      </c>
      <c r="H48">
        <v>6</v>
      </c>
      <c r="I48">
        <v>24</v>
      </c>
      <c r="J48">
        <v>23.186437574388869</v>
      </c>
      <c r="K48">
        <v>176.623933990777</v>
      </c>
      <c r="L48">
        <v>157.13164354237961</v>
      </c>
      <c r="M48">
        <v>149.42735939839619</v>
      </c>
      <c r="N48">
        <v>187.30444859684209</v>
      </c>
      <c r="O48">
        <v>144.81407257917451</v>
      </c>
      <c r="P48">
        <v>78.691613604314625</v>
      </c>
      <c r="Q48">
        <v>202.411178330658</v>
      </c>
      <c r="R48">
        <v>173.1742433243198</v>
      </c>
      <c r="S48">
        <v>160.1760178949917</v>
      </c>
      <c r="T48">
        <v>160.14443569147261</v>
      </c>
      <c r="U48">
        <v>203.21089702192691</v>
      </c>
      <c r="V48">
        <v>148.77071559239991</v>
      </c>
      <c r="W48" s="6">
        <v>203.99130386920152</v>
      </c>
      <c r="X48" s="6">
        <f t="shared" si="4"/>
        <v>32.903805854515866</v>
      </c>
      <c r="Y48" s="5">
        <v>0.8</v>
      </c>
      <c r="Z48" s="6">
        <f>W48</f>
        <v>203.99130386920152</v>
      </c>
      <c r="AA48" s="6">
        <v>22.617572557756279</v>
      </c>
      <c r="AB48" s="6">
        <v>22.617572557756279</v>
      </c>
      <c r="AC48">
        <v>488.83022553178512</v>
      </c>
      <c r="AD48">
        <v>488.83022553178512</v>
      </c>
      <c r="AE48">
        <v>176.6428858391009</v>
      </c>
      <c r="AF48">
        <v>72.064882351145968</v>
      </c>
      <c r="AG48">
        <v>23.31339457380901</v>
      </c>
      <c r="AH48">
        <v>0</v>
      </c>
      <c r="AI48">
        <v>1941.8805595676531</v>
      </c>
      <c r="AJ48">
        <v>323.64675992794218</v>
      </c>
      <c r="AK48">
        <v>0.67649437821585112</v>
      </c>
      <c r="AL48">
        <v>23323.565677536739</v>
      </c>
      <c r="AM48">
        <v>7545.3046167349557</v>
      </c>
      <c r="AN48">
        <v>15778.26106080178</v>
      </c>
      <c r="AO48">
        <v>11396.29192742655</v>
      </c>
      <c r="AP48">
        <v>0.66208418183604689</v>
      </c>
      <c r="AQ48">
        <v>18.124583443033501</v>
      </c>
      <c r="AR48">
        <v>161.82337996397109</v>
      </c>
      <c r="AS48">
        <v>472.25964619863191</v>
      </c>
      <c r="AT48">
        <v>0.4</v>
      </c>
      <c r="AU48">
        <v>0.5</v>
      </c>
      <c r="AW48" s="7">
        <v>0.9</v>
      </c>
    </row>
    <row r="49" spans="1:49" x14ac:dyDescent="0.3">
      <c r="A49" t="s">
        <v>157</v>
      </c>
      <c r="B49" t="s">
        <v>56</v>
      </c>
      <c r="C49" t="s">
        <v>133</v>
      </c>
      <c r="D49" t="s">
        <v>57</v>
      </c>
      <c r="E49" t="s">
        <v>158</v>
      </c>
      <c r="F49" t="s">
        <v>124</v>
      </c>
      <c r="G49" t="s">
        <v>152</v>
      </c>
      <c r="H49">
        <v>6</v>
      </c>
      <c r="I49">
        <v>24</v>
      </c>
      <c r="J49">
        <v>83.539841914120913</v>
      </c>
      <c r="K49">
        <v>110.9579845127882</v>
      </c>
      <c r="L49">
        <v>157.6710648500011</v>
      </c>
      <c r="M49">
        <v>167.72450559656139</v>
      </c>
      <c r="N49">
        <v>204.0619112143759</v>
      </c>
      <c r="O49">
        <v>141.26636112123381</v>
      </c>
      <c r="P49">
        <v>132.9514763405314</v>
      </c>
      <c r="Q49">
        <v>174.58248218317749</v>
      </c>
      <c r="R49">
        <v>102.2329744650051</v>
      </c>
      <c r="S49">
        <v>122.04668034100909</v>
      </c>
      <c r="T49">
        <v>173.65663931414019</v>
      </c>
      <c r="U49">
        <v>149.1633785612066</v>
      </c>
      <c r="V49">
        <v>204.78768798639069</v>
      </c>
      <c r="W49" s="6">
        <v>196.23667863334515</v>
      </c>
      <c r="X49" s="6">
        <f t="shared" si="4"/>
        <v>33.405925736550842</v>
      </c>
      <c r="Y49" s="5">
        <v>0.8</v>
      </c>
      <c r="Z49" s="6">
        <f>W49</f>
        <v>196.23667863334515</v>
      </c>
      <c r="AA49" s="6">
        <v>20.53254799035615</v>
      </c>
      <c r="AB49" s="6">
        <v>20.53254799035615</v>
      </c>
      <c r="AC49">
        <v>272.6615192114017</v>
      </c>
      <c r="AD49">
        <v>272.6615192114017</v>
      </c>
      <c r="AE49">
        <v>406.17342796758749</v>
      </c>
      <c r="AF49">
        <v>75.710013122959069</v>
      </c>
      <c r="AG49">
        <v>57.533188879055153</v>
      </c>
      <c r="AH49">
        <v>0</v>
      </c>
      <c r="AI49">
        <v>1841.1031464864211</v>
      </c>
      <c r="AJ49">
        <v>306.85052441440348</v>
      </c>
      <c r="AK49">
        <v>0.24008481169304929</v>
      </c>
      <c r="AL49">
        <v>23231.657230201359</v>
      </c>
      <c r="AM49">
        <v>17654.089178770999</v>
      </c>
      <c r="AN49">
        <v>5577.5680514303613</v>
      </c>
      <c r="AO49">
        <v>15687.0866848397</v>
      </c>
      <c r="AP49">
        <v>1.1253899167799111</v>
      </c>
      <c r="AQ49">
        <v>10.66297095884395</v>
      </c>
      <c r="AR49">
        <v>153.42526220720171</v>
      </c>
      <c r="AS49">
        <v>949.0875087910224</v>
      </c>
      <c r="AT49">
        <v>0.4</v>
      </c>
      <c r="AU49">
        <v>0.5</v>
      </c>
      <c r="AW49" s="7">
        <v>0.9</v>
      </c>
    </row>
    <row r="50" spans="1:49" x14ac:dyDescent="0.3">
      <c r="A50" t="s">
        <v>159</v>
      </c>
      <c r="B50" t="s">
        <v>52</v>
      </c>
      <c r="C50" t="s">
        <v>133</v>
      </c>
      <c r="D50" t="s">
        <v>86</v>
      </c>
      <c r="E50" t="s">
        <v>160</v>
      </c>
      <c r="F50" t="s">
        <v>124</v>
      </c>
      <c r="G50" t="s">
        <v>152</v>
      </c>
      <c r="H50">
        <v>6</v>
      </c>
      <c r="I50">
        <v>24</v>
      </c>
      <c r="J50">
        <v>19.953917050691249</v>
      </c>
      <c r="K50">
        <v>156.91933337293449</v>
      </c>
      <c r="L50">
        <v>193.7466042058077</v>
      </c>
      <c r="M50">
        <v>146.63195922039449</v>
      </c>
      <c r="N50">
        <v>124.1797068963933</v>
      </c>
      <c r="O50">
        <v>166.55187134019801</v>
      </c>
      <c r="P50">
        <v>139.6097961027408</v>
      </c>
      <c r="Q50">
        <v>112.819492793642</v>
      </c>
      <c r="R50">
        <v>137.1754766900267</v>
      </c>
      <c r="S50">
        <v>97.809010336641222</v>
      </c>
      <c r="T50">
        <v>225.39674697909501</v>
      </c>
      <c r="U50">
        <v>167.14033714961261</v>
      </c>
      <c r="V50">
        <v>190.43811259180069</v>
      </c>
      <c r="W50" s="6">
        <v>201.5919979382004</v>
      </c>
      <c r="X50" s="6">
        <f t="shared" si="4"/>
        <v>36.458770151063725</v>
      </c>
      <c r="Y50" s="5">
        <v>0.8</v>
      </c>
      <c r="Z50" s="6">
        <f>W50</f>
        <v>201.5919979382004</v>
      </c>
      <c r="AA50" s="6">
        <v>46.80288094729454</v>
      </c>
      <c r="AB50" s="6">
        <v>46.80288094729454</v>
      </c>
      <c r="AC50">
        <v>285.25955992309332</v>
      </c>
      <c r="AD50">
        <v>285.25955992309332</v>
      </c>
      <c r="AE50">
        <v>351.13717507920228</v>
      </c>
      <c r="AF50">
        <v>75</v>
      </c>
      <c r="AG50">
        <v>53.851435895870843</v>
      </c>
      <c r="AH50">
        <v>0</v>
      </c>
      <c r="AI50">
        <v>1858.4184476792871</v>
      </c>
      <c r="AJ50">
        <v>309.73640794654779</v>
      </c>
      <c r="AK50">
        <v>0.28198085472172207</v>
      </c>
      <c r="AL50">
        <v>23230.230595991088</v>
      </c>
      <c r="AM50">
        <v>16679.750317150822</v>
      </c>
      <c r="AN50">
        <v>6550.4802788402667</v>
      </c>
      <c r="AO50">
        <v>15361.636904882789</v>
      </c>
      <c r="AP50">
        <v>1.0858055310400589</v>
      </c>
      <c r="AQ50">
        <v>11.051702774534199</v>
      </c>
      <c r="AR50">
        <v>154.86820397327389</v>
      </c>
      <c r="AS50">
        <v>237.16856652592051</v>
      </c>
      <c r="AT50">
        <v>0.4</v>
      </c>
      <c r="AU50">
        <v>0.5</v>
      </c>
      <c r="AW50" s="7">
        <v>0.9</v>
      </c>
    </row>
    <row r="51" spans="1:49" x14ac:dyDescent="0.3">
      <c r="A51" t="s">
        <v>161</v>
      </c>
      <c r="B51" t="s">
        <v>64</v>
      </c>
      <c r="C51" t="s">
        <v>133</v>
      </c>
      <c r="D51" t="s">
        <v>65</v>
      </c>
      <c r="E51" t="s">
        <v>162</v>
      </c>
      <c r="F51" t="s">
        <v>124</v>
      </c>
      <c r="G51" t="s">
        <v>152</v>
      </c>
      <c r="H51">
        <v>6</v>
      </c>
      <c r="I51">
        <v>24</v>
      </c>
      <c r="J51">
        <v>81.239967040009759</v>
      </c>
      <c r="K51">
        <v>117.345092954929</v>
      </c>
      <c r="L51">
        <v>138.4170392761007</v>
      </c>
      <c r="M51">
        <v>164.4714022098924</v>
      </c>
      <c r="N51">
        <v>202.30599526839799</v>
      </c>
      <c r="O51">
        <v>127.0477870697505</v>
      </c>
      <c r="P51">
        <v>187.88316007558021</v>
      </c>
      <c r="Q51">
        <v>178.6119075099123</v>
      </c>
      <c r="R51">
        <v>159.4931124294817</v>
      </c>
      <c r="S51">
        <v>155.0089511205442</v>
      </c>
      <c r="T51">
        <v>197.73455657414161</v>
      </c>
      <c r="U51">
        <v>120.1786236983025</v>
      </c>
      <c r="V51">
        <v>107.06784829963</v>
      </c>
      <c r="W51" s="6">
        <v>196.59633483927811</v>
      </c>
      <c r="X51" s="6">
        <f t="shared" si="4"/>
        <v>32.746148960112997</v>
      </c>
      <c r="Y51" s="5">
        <v>0.8</v>
      </c>
      <c r="Z51" s="6">
        <f>W51</f>
        <v>196.59633483927811</v>
      </c>
      <c r="AA51" s="6">
        <v>80.475783562730797</v>
      </c>
      <c r="AB51" s="6">
        <v>80.475783562730797</v>
      </c>
      <c r="AC51">
        <v>590.63997314371159</v>
      </c>
      <c r="AD51">
        <v>590.63997314371159</v>
      </c>
      <c r="AE51">
        <v>304.64812602440361</v>
      </c>
      <c r="AF51">
        <v>75</v>
      </c>
      <c r="AG51">
        <v>44.564043092135378</v>
      </c>
      <c r="AH51">
        <v>0</v>
      </c>
      <c r="AI51">
        <v>1855.5654764866631</v>
      </c>
      <c r="AJ51">
        <v>309.26091274777718</v>
      </c>
      <c r="AK51">
        <v>0.40581275877152828</v>
      </c>
      <c r="AL51">
        <v>23194.568456083289</v>
      </c>
      <c r="AM51">
        <v>13781.91664240506</v>
      </c>
      <c r="AN51">
        <v>9412.651813678227</v>
      </c>
      <c r="AO51">
        <v>26321.305215114051</v>
      </c>
      <c r="AP51">
        <v>0.52360308616045759</v>
      </c>
      <c r="AQ51">
        <v>22.918123130241849</v>
      </c>
      <c r="AR51">
        <v>154.63045637388859</v>
      </c>
      <c r="AS51">
        <v>1999.315497946141</v>
      </c>
      <c r="AT51">
        <v>0.4</v>
      </c>
      <c r="AU51">
        <v>0.5</v>
      </c>
      <c r="AW51" s="7">
        <v>0.9</v>
      </c>
    </row>
    <row r="52" spans="1:49" x14ac:dyDescent="0.3">
      <c r="A52" t="s">
        <v>163</v>
      </c>
      <c r="B52" t="s">
        <v>52</v>
      </c>
      <c r="C52" t="s">
        <v>133</v>
      </c>
      <c r="D52" t="s">
        <v>86</v>
      </c>
      <c r="E52" t="s">
        <v>164</v>
      </c>
      <c r="F52" t="s">
        <v>124</v>
      </c>
      <c r="G52" t="s">
        <v>152</v>
      </c>
      <c r="H52">
        <v>6</v>
      </c>
      <c r="I52">
        <v>24</v>
      </c>
      <c r="J52">
        <v>60.990325632496109</v>
      </c>
      <c r="K52">
        <v>148.84189492149741</v>
      </c>
      <c r="L52">
        <v>154.28194653068201</v>
      </c>
      <c r="M52">
        <v>89.924236969090998</v>
      </c>
      <c r="N52">
        <v>211.5810677118134</v>
      </c>
      <c r="O52">
        <v>137.43400055900571</v>
      </c>
      <c r="P52">
        <v>123.89270447456509</v>
      </c>
      <c r="Q52">
        <v>149.69362534102399</v>
      </c>
      <c r="R52">
        <v>152.51017127084199</v>
      </c>
      <c r="S52">
        <v>144.2260160423757</v>
      </c>
      <c r="T52">
        <v>165.5115003508399</v>
      </c>
      <c r="U52">
        <v>164.36321781511651</v>
      </c>
      <c r="V52">
        <v>184.50550138950351</v>
      </c>
      <c r="W52" s="6">
        <v>190.63442664306874</v>
      </c>
      <c r="X52" s="6">
        <f t="shared" si="4"/>
        <v>29.966750768538827</v>
      </c>
      <c r="Y52" s="5">
        <v>0.8</v>
      </c>
      <c r="Z52" s="6">
        <f>W52</f>
        <v>190.63442664306874</v>
      </c>
      <c r="AA52" s="6">
        <v>77.594836268196659</v>
      </c>
      <c r="AB52" s="6">
        <v>77.594836268196659</v>
      </c>
      <c r="AC52">
        <v>493.63994262520231</v>
      </c>
      <c r="AD52">
        <v>493.63994262520231</v>
      </c>
      <c r="AE52">
        <v>174.22863215324469</v>
      </c>
      <c r="AF52">
        <v>75</v>
      </c>
      <c r="AG52">
        <v>68.273262733848071</v>
      </c>
      <c r="AH52">
        <v>0</v>
      </c>
      <c r="AI52">
        <v>1826.765883376356</v>
      </c>
      <c r="AJ52">
        <v>304.46098056272598</v>
      </c>
      <c r="AK52">
        <v>8.9689830215359048E-2</v>
      </c>
      <c r="AL52">
        <v>22834.573542204449</v>
      </c>
      <c r="AM52">
        <v>20786.54451816401</v>
      </c>
      <c r="AN52">
        <v>2048.029024040447</v>
      </c>
      <c r="AO52">
        <v>33702.409498772118</v>
      </c>
      <c r="AP52">
        <v>0.61676731210928182</v>
      </c>
      <c r="AQ52">
        <v>19.456284022188552</v>
      </c>
      <c r="AR52">
        <v>152.23049028136299</v>
      </c>
      <c r="AS52">
        <v>1254.469201913241</v>
      </c>
      <c r="AT52">
        <v>0.4</v>
      </c>
      <c r="AU52">
        <v>0.5</v>
      </c>
      <c r="AW52" s="7">
        <v>0.9</v>
      </c>
    </row>
    <row r="53" spans="1:49" x14ac:dyDescent="0.3">
      <c r="A53" t="s">
        <v>165</v>
      </c>
      <c r="B53" t="s">
        <v>52</v>
      </c>
      <c r="C53" t="s">
        <v>133</v>
      </c>
      <c r="D53" t="s">
        <v>86</v>
      </c>
      <c r="E53" t="s">
        <v>166</v>
      </c>
      <c r="F53" t="s">
        <v>124</v>
      </c>
      <c r="G53" t="s">
        <v>152</v>
      </c>
      <c r="H53">
        <v>6</v>
      </c>
      <c r="I53">
        <v>24</v>
      </c>
      <c r="J53">
        <v>51.825006866664637</v>
      </c>
      <c r="K53">
        <v>144.47362597493341</v>
      </c>
      <c r="L53">
        <v>151.64056928042561</v>
      </c>
      <c r="M53">
        <v>209.39255061093721</v>
      </c>
      <c r="N53">
        <v>188.4032773581566</v>
      </c>
      <c r="O53">
        <v>130.58826804481211</v>
      </c>
      <c r="P53">
        <v>136.1953710933449</v>
      </c>
      <c r="Q53">
        <v>158.80550032888999</v>
      </c>
      <c r="R53">
        <v>103.54783095535819</v>
      </c>
      <c r="S53">
        <v>192.88112904760061</v>
      </c>
      <c r="T53">
        <v>168.43172867665999</v>
      </c>
      <c r="U53">
        <v>161.4619183477771</v>
      </c>
      <c r="V53">
        <v>175.4236738328473</v>
      </c>
      <c r="W53" s="6">
        <v>197.90306788510551</v>
      </c>
      <c r="X53" s="6">
        <f t="shared" si="4"/>
        <v>29.494935622350429</v>
      </c>
      <c r="Y53" s="5">
        <v>0.8</v>
      </c>
      <c r="Z53" s="6">
        <f>W53</f>
        <v>197.90306788510551</v>
      </c>
      <c r="AA53" s="6">
        <v>37.246925260170293</v>
      </c>
      <c r="AB53" s="6">
        <v>37.246925260170293</v>
      </c>
      <c r="AC53">
        <v>528.67519150364694</v>
      </c>
      <c r="AD53">
        <v>528.67519150364694</v>
      </c>
      <c r="AE53">
        <v>291.1362179875141</v>
      </c>
      <c r="AF53">
        <v>71.264076662495796</v>
      </c>
      <c r="AG53">
        <v>58.780785546433911</v>
      </c>
      <c r="AH53">
        <v>0</v>
      </c>
      <c r="AI53">
        <v>1921.2454435517429</v>
      </c>
      <c r="AJ53">
        <v>320.20757392529049</v>
      </c>
      <c r="AK53">
        <v>0.1751694780973915</v>
      </c>
      <c r="AL53">
        <v>22819.29709612369</v>
      </c>
      <c r="AM53">
        <v>18822.052733246379</v>
      </c>
      <c r="AN53">
        <v>3997.244362877308</v>
      </c>
      <c r="AO53">
        <v>31075.943055495751</v>
      </c>
      <c r="AP53">
        <v>0.60567921300517769</v>
      </c>
      <c r="AQ53">
        <v>19.812467957188119</v>
      </c>
      <c r="AR53">
        <v>160.10378696264519</v>
      </c>
      <c r="AS53">
        <v>1141.608142912989</v>
      </c>
      <c r="AT53">
        <v>0.4</v>
      </c>
      <c r="AU53">
        <v>0.5</v>
      </c>
      <c r="AW53" s="7">
        <v>0.9</v>
      </c>
    </row>
    <row r="54" spans="1:49" x14ac:dyDescent="0.3">
      <c r="A54" t="s">
        <v>167</v>
      </c>
      <c r="B54" t="s">
        <v>52</v>
      </c>
      <c r="C54" t="s">
        <v>133</v>
      </c>
      <c r="D54" t="s">
        <v>53</v>
      </c>
      <c r="E54" t="s">
        <v>168</v>
      </c>
      <c r="F54" t="s">
        <v>169</v>
      </c>
      <c r="G54" t="s">
        <v>152</v>
      </c>
      <c r="H54">
        <v>6</v>
      </c>
      <c r="I54">
        <v>24</v>
      </c>
      <c r="J54">
        <v>36.687826166570026</v>
      </c>
      <c r="K54">
        <v>144.82805606021429</v>
      </c>
      <c r="L54">
        <v>126.0256969238981</v>
      </c>
      <c r="M54">
        <v>87.84158505150117</v>
      </c>
      <c r="N54">
        <v>170.15046902670289</v>
      </c>
      <c r="O54">
        <v>176.83218554011549</v>
      </c>
      <c r="P54">
        <v>127.56108314206359</v>
      </c>
      <c r="Q54">
        <v>152.9226498554635</v>
      </c>
      <c r="R54">
        <v>136.37626958952751</v>
      </c>
      <c r="S54">
        <v>123.95627815421901</v>
      </c>
      <c r="T54">
        <v>129.45089944551</v>
      </c>
      <c r="U54">
        <v>158.070105650404</v>
      </c>
      <c r="V54">
        <v>213.494826463284</v>
      </c>
      <c r="W54" s="6">
        <v>186.62184926048724</v>
      </c>
      <c r="X54" s="6">
        <f t="shared" si="4"/>
        <v>31.989354379059961</v>
      </c>
      <c r="Y54" s="5">
        <v>0.8</v>
      </c>
      <c r="Z54" s="6">
        <f>W54</f>
        <v>186.62184926048724</v>
      </c>
      <c r="AA54" s="6">
        <v>24.71724600970489</v>
      </c>
      <c r="AB54" s="6">
        <v>24.71724600970489</v>
      </c>
      <c r="AC54">
        <v>189.45585497604301</v>
      </c>
      <c r="AD54">
        <v>189.45585497604301</v>
      </c>
      <c r="AE54">
        <v>197.0228431164287</v>
      </c>
      <c r="AF54">
        <v>78.263801995910512</v>
      </c>
      <c r="AG54">
        <v>32.232123783074442</v>
      </c>
      <c r="AH54">
        <v>0</v>
      </c>
      <c r="AI54">
        <v>1747.510104902904</v>
      </c>
      <c r="AJ54">
        <v>291.25168415048392</v>
      </c>
      <c r="AK54">
        <v>0.58816051659797142</v>
      </c>
      <c r="AL54">
        <v>22794.464139328938</v>
      </c>
      <c r="AM54">
        <v>9387.660335567296</v>
      </c>
      <c r="AN54">
        <v>13406.80380376165</v>
      </c>
      <c r="AO54">
        <v>6106.5645690160163</v>
      </c>
      <c r="AP54">
        <v>1.537306324934181</v>
      </c>
      <c r="AQ54">
        <v>7.8058613337935574</v>
      </c>
      <c r="AR54">
        <v>145.62584207524199</v>
      </c>
      <c r="AS54">
        <v>289.61347806666532</v>
      </c>
      <c r="AT54">
        <v>0.4</v>
      </c>
      <c r="AU54">
        <v>0.5</v>
      </c>
      <c r="AW54" s="7">
        <v>0.9</v>
      </c>
    </row>
    <row r="55" spans="1:49" x14ac:dyDescent="0.3">
      <c r="A55" t="s">
        <v>170</v>
      </c>
      <c r="B55" t="s">
        <v>56</v>
      </c>
      <c r="C55" t="s">
        <v>133</v>
      </c>
      <c r="D55" t="s">
        <v>134</v>
      </c>
      <c r="E55" t="s">
        <v>171</v>
      </c>
      <c r="F55" t="s">
        <v>169</v>
      </c>
      <c r="G55" t="s">
        <v>152</v>
      </c>
      <c r="H55">
        <v>6</v>
      </c>
      <c r="I55">
        <v>24</v>
      </c>
      <c r="J55">
        <v>64.654988250373862</v>
      </c>
      <c r="K55">
        <v>179.62267444672759</v>
      </c>
      <c r="L55">
        <v>139.92602741054719</v>
      </c>
      <c r="M55">
        <v>112.51588072482259</v>
      </c>
      <c r="N55">
        <v>171.6750777326524</v>
      </c>
      <c r="O55">
        <v>113.1340870109852</v>
      </c>
      <c r="P55">
        <v>175.6511611951282</v>
      </c>
      <c r="Q55">
        <v>200.29646672483071</v>
      </c>
      <c r="R55">
        <v>104.02149579604161</v>
      </c>
      <c r="S55">
        <v>175.27940523577851</v>
      </c>
      <c r="T55">
        <v>163.17745272899629</v>
      </c>
      <c r="U55">
        <v>147.91564277984429</v>
      </c>
      <c r="V55">
        <v>139.13817762513639</v>
      </c>
      <c r="W55" s="6">
        <v>191.28353897506068</v>
      </c>
      <c r="X55" s="6">
        <f t="shared" si="4"/>
        <v>30.760169353012245</v>
      </c>
      <c r="Y55" s="5">
        <v>0.8</v>
      </c>
      <c r="Z55" s="6">
        <f>W55</f>
        <v>191.28353897506068</v>
      </c>
      <c r="AA55" s="6">
        <v>54.176152836695451</v>
      </c>
      <c r="AB55" s="6">
        <v>54.176152836695451</v>
      </c>
      <c r="AC55">
        <v>686.468092898343</v>
      </c>
      <c r="AD55">
        <v>686.468092898343</v>
      </c>
      <c r="AE55">
        <v>245.289726939518</v>
      </c>
      <c r="AF55">
        <v>74.71877193517868</v>
      </c>
      <c r="AG55">
        <v>43.082064271980947</v>
      </c>
      <c r="AH55">
        <v>0</v>
      </c>
      <c r="AI55">
        <v>1822.353549411491</v>
      </c>
      <c r="AJ55">
        <v>303.72559156858188</v>
      </c>
      <c r="AK55">
        <v>0.42341043413620011</v>
      </c>
      <c r="AL55">
        <v>22694.003207290101</v>
      </c>
      <c r="AM55">
        <v>13085.12545700308</v>
      </c>
      <c r="AN55">
        <v>9608.8777502870162</v>
      </c>
      <c r="AO55">
        <v>29574.462498910609</v>
      </c>
      <c r="AP55">
        <v>0.44244677168638591</v>
      </c>
      <c r="AQ55">
        <v>27.12190656123899</v>
      </c>
      <c r="AR55">
        <v>151.86279578429091</v>
      </c>
      <c r="AS55">
        <v>1849.316103358288</v>
      </c>
      <c r="AT55">
        <v>0.4</v>
      </c>
      <c r="AU55">
        <v>0.5</v>
      </c>
      <c r="AW55" s="7">
        <v>0.9</v>
      </c>
    </row>
    <row r="56" spans="1:49" x14ac:dyDescent="0.3">
      <c r="A56" t="s">
        <v>172</v>
      </c>
      <c r="B56" t="s">
        <v>44</v>
      </c>
      <c r="C56" t="s">
        <v>133</v>
      </c>
      <c r="D56" t="s">
        <v>79</v>
      </c>
      <c r="E56" t="s">
        <v>173</v>
      </c>
      <c r="F56" t="s">
        <v>169</v>
      </c>
      <c r="G56" t="s">
        <v>152</v>
      </c>
      <c r="H56">
        <v>6</v>
      </c>
      <c r="I56">
        <v>24</v>
      </c>
      <c r="J56">
        <v>39.934995574816128</v>
      </c>
      <c r="K56">
        <v>125.0561642031244</v>
      </c>
      <c r="L56">
        <v>126.97084381798049</v>
      </c>
      <c r="M56">
        <v>179.39559635706249</v>
      </c>
      <c r="N56">
        <v>135.88077687600159</v>
      </c>
      <c r="O56">
        <v>140.0473085290287</v>
      </c>
      <c r="P56">
        <v>172.6550127990777</v>
      </c>
      <c r="Q56">
        <v>127.1675334159227</v>
      </c>
      <c r="R56">
        <v>140.5913000475266</v>
      </c>
      <c r="S56">
        <v>146.70358192815911</v>
      </c>
      <c r="T56">
        <v>217.60310498066249</v>
      </c>
      <c r="U56">
        <v>143.45252490456909</v>
      </c>
      <c r="V56">
        <v>156.51459686196179</v>
      </c>
      <c r="W56" s="6">
        <v>185.76313024000677</v>
      </c>
      <c r="X56" s="6">
        <f t="shared" si="4"/>
        <v>27.123321277995192</v>
      </c>
      <c r="Y56" s="5">
        <v>0.8</v>
      </c>
      <c r="Z56" s="6">
        <f>W56</f>
        <v>185.76313024000677</v>
      </c>
      <c r="AA56" s="6">
        <v>23.550218207342748</v>
      </c>
      <c r="AB56" s="6">
        <v>23.550218207342748</v>
      </c>
      <c r="AC56">
        <v>504.16272469252601</v>
      </c>
      <c r="AD56">
        <v>504.16272469252601</v>
      </c>
      <c r="AE56">
        <v>198.81022757908801</v>
      </c>
      <c r="AF56">
        <v>75</v>
      </c>
      <c r="AG56">
        <v>68.993499557481613</v>
      </c>
      <c r="AH56">
        <v>0</v>
      </c>
      <c r="AI56">
        <v>1812.038344721077</v>
      </c>
      <c r="AJ56">
        <v>302.00639078684623</v>
      </c>
      <c r="AK56">
        <v>8.0086672566911835E-2</v>
      </c>
      <c r="AL56">
        <v>22650.479309013459</v>
      </c>
      <c r="AM56">
        <v>20836.477789108889</v>
      </c>
      <c r="AN56">
        <v>1814.001519904572</v>
      </c>
      <c r="AO56">
        <v>34783.950722972513</v>
      </c>
      <c r="AP56">
        <v>0.59902562406022974</v>
      </c>
      <c r="AQ56">
        <v>20.032532028702409</v>
      </c>
      <c r="AR56">
        <v>151.00319539342311</v>
      </c>
      <c r="AS56">
        <v>838.90567414930274</v>
      </c>
      <c r="AT56">
        <v>0.4</v>
      </c>
      <c r="AU56">
        <v>0.5</v>
      </c>
      <c r="AW56" s="7">
        <v>0.9</v>
      </c>
    </row>
    <row r="57" spans="1:49" x14ac:dyDescent="0.3">
      <c r="A57" t="s">
        <v>174</v>
      </c>
      <c r="B57" t="s">
        <v>52</v>
      </c>
      <c r="C57" t="s">
        <v>133</v>
      </c>
      <c r="D57" t="s">
        <v>53</v>
      </c>
      <c r="E57" t="s">
        <v>175</v>
      </c>
      <c r="F57" t="s">
        <v>169</v>
      </c>
      <c r="G57" t="s">
        <v>152</v>
      </c>
      <c r="H57">
        <v>6</v>
      </c>
      <c r="I57">
        <v>24</v>
      </c>
      <c r="J57">
        <v>10.598162785729549</v>
      </c>
      <c r="K57">
        <v>148.39851625438311</v>
      </c>
      <c r="L57">
        <v>139.5220071266522</v>
      </c>
      <c r="M57">
        <v>166.09682840353341</v>
      </c>
      <c r="N57">
        <v>127.2288219901384</v>
      </c>
      <c r="O57">
        <v>201.88103386899459</v>
      </c>
      <c r="P57">
        <v>158.95174707693511</v>
      </c>
      <c r="Q57">
        <v>136.74413745902709</v>
      </c>
      <c r="R57">
        <v>175.2499376074411</v>
      </c>
      <c r="S57">
        <v>98.159893392585218</v>
      </c>
      <c r="T57">
        <v>144.80708083865471</v>
      </c>
      <c r="U57">
        <v>123.0581293988507</v>
      </c>
      <c r="V57">
        <v>182.41111699026081</v>
      </c>
      <c r="W57" s="6">
        <v>186.79555680803142</v>
      </c>
      <c r="X57" s="6">
        <f t="shared" si="4"/>
        <v>28.548560659642618</v>
      </c>
      <c r="Y57" s="5">
        <v>0.8</v>
      </c>
      <c r="Z57" s="6">
        <f>W57</f>
        <v>186.79555680803142</v>
      </c>
      <c r="AA57" s="6">
        <v>43.177282021546063</v>
      </c>
      <c r="AB57" s="6">
        <v>43.177282021546063</v>
      </c>
      <c r="AC57">
        <v>447.61803033539837</v>
      </c>
      <c r="AD57">
        <v>447.61803033539837</v>
      </c>
      <c r="AE57">
        <v>450.19524527015159</v>
      </c>
      <c r="AF57">
        <v>75</v>
      </c>
      <c r="AG57">
        <v>34.334238715781133</v>
      </c>
      <c r="AH57">
        <v>0</v>
      </c>
      <c r="AI57">
        <v>1802.509250407456</v>
      </c>
      <c r="AJ57">
        <v>300.41820840124268</v>
      </c>
      <c r="AK57">
        <v>0.54221015045625165</v>
      </c>
      <c r="AL57">
        <v>22531.365630093209</v>
      </c>
      <c r="AM57">
        <v>10314.63048181555</v>
      </c>
      <c r="AN57">
        <v>12216.73514827765</v>
      </c>
      <c r="AO57">
        <v>15368.62430702333</v>
      </c>
      <c r="AP57">
        <v>0.67114858661109023</v>
      </c>
      <c r="AQ57">
        <v>17.87979627669786</v>
      </c>
      <c r="AR57">
        <v>150.2091042006214</v>
      </c>
      <c r="AS57">
        <v>197.66369797175739</v>
      </c>
      <c r="AT57">
        <v>0.4</v>
      </c>
      <c r="AU57">
        <v>0.5</v>
      </c>
      <c r="AW57" s="7">
        <v>0.9</v>
      </c>
    </row>
    <row r="58" spans="1:49" x14ac:dyDescent="0.3">
      <c r="A58" t="s">
        <v>176</v>
      </c>
      <c r="B58" t="s">
        <v>64</v>
      </c>
      <c r="C58" t="s">
        <v>177</v>
      </c>
      <c r="D58" t="s">
        <v>70</v>
      </c>
      <c r="E58" t="s">
        <v>178</v>
      </c>
      <c r="F58" t="s">
        <v>169</v>
      </c>
      <c r="G58" t="s">
        <v>152</v>
      </c>
      <c r="H58">
        <v>6</v>
      </c>
      <c r="I58">
        <v>24</v>
      </c>
      <c r="J58">
        <v>66.393322550126641</v>
      </c>
      <c r="K58">
        <v>106.8881776212947</v>
      </c>
      <c r="L58">
        <v>188.528651202796</v>
      </c>
      <c r="M58">
        <v>197.78339643962681</v>
      </c>
      <c r="N58">
        <v>146.50030986231289</v>
      </c>
      <c r="O58">
        <v>189.69350927945919</v>
      </c>
      <c r="P58">
        <v>141.76079654716889</v>
      </c>
      <c r="Q58">
        <v>152.71978706223311</v>
      </c>
      <c r="R58">
        <v>142.79281155395441</v>
      </c>
      <c r="S58">
        <v>111.6902414345532</v>
      </c>
      <c r="T58">
        <v>211.80944183142859</v>
      </c>
      <c r="U58">
        <v>135.80642568413171</v>
      </c>
      <c r="V58">
        <v>129.45376435382059</v>
      </c>
      <c r="W58" s="6">
        <v>163.32740587284957</v>
      </c>
      <c r="X58" s="6">
        <f t="shared" si="4"/>
        <v>34.373644007223177</v>
      </c>
      <c r="Y58" s="5">
        <v>0.8</v>
      </c>
      <c r="Z58" s="6">
        <f>W58</f>
        <v>163.32740587284957</v>
      </c>
      <c r="AA58" s="6">
        <v>30.945463423566391</v>
      </c>
      <c r="AB58" s="6">
        <v>30.945463423566391</v>
      </c>
      <c r="AC58">
        <v>381.50273140659812</v>
      </c>
      <c r="AD58">
        <v>381.50273140659812</v>
      </c>
      <c r="AE58">
        <v>143.997255639988</v>
      </c>
      <c r="AF58">
        <v>71.854915005951113</v>
      </c>
      <c r="AG58">
        <v>34.253669850764489</v>
      </c>
      <c r="AH58">
        <v>0</v>
      </c>
      <c r="AI58">
        <v>1855.42731287278</v>
      </c>
      <c r="AJ58">
        <v>309.23788547879673</v>
      </c>
      <c r="AK58">
        <v>0.52329398973017283</v>
      </c>
      <c r="AL58">
        <v>22220.261977698981</v>
      </c>
      <c r="AM58">
        <v>10592.53243453922</v>
      </c>
      <c r="AN58">
        <v>11627.729543159759</v>
      </c>
      <c r="AO58">
        <v>13067.86860876649</v>
      </c>
      <c r="AP58">
        <v>0.8105784310865578</v>
      </c>
      <c r="AQ58">
        <v>14.804242920594779</v>
      </c>
      <c r="AR58">
        <v>154.61894273939831</v>
      </c>
      <c r="AS58">
        <v>1055.3847458346911</v>
      </c>
      <c r="AT58">
        <v>0.4</v>
      </c>
      <c r="AU58">
        <v>0.5</v>
      </c>
      <c r="AW58" s="7">
        <v>0.6</v>
      </c>
    </row>
    <row r="59" spans="1:49" x14ac:dyDescent="0.3">
      <c r="A59" t="s">
        <v>179</v>
      </c>
      <c r="B59" t="s">
        <v>56</v>
      </c>
      <c r="C59" t="s">
        <v>177</v>
      </c>
      <c r="D59" t="s">
        <v>134</v>
      </c>
      <c r="E59" t="s">
        <v>180</v>
      </c>
      <c r="F59" t="s">
        <v>169</v>
      </c>
      <c r="G59" t="s">
        <v>152</v>
      </c>
      <c r="H59">
        <v>6</v>
      </c>
      <c r="I59">
        <v>24</v>
      </c>
      <c r="J59">
        <v>19.199499496444599</v>
      </c>
      <c r="K59">
        <v>156.91462673785281</v>
      </c>
      <c r="L59">
        <v>196.2403022538638</v>
      </c>
      <c r="M59">
        <v>166.92192199698181</v>
      </c>
      <c r="N59">
        <v>156.1344508139882</v>
      </c>
      <c r="O59">
        <v>205.24389052879999</v>
      </c>
      <c r="P59">
        <v>160.758958524093</v>
      </c>
      <c r="Q59">
        <v>128.60994653819941</v>
      </c>
      <c r="R59">
        <v>171.44035988749241</v>
      </c>
      <c r="S59">
        <v>127.977859089151</v>
      </c>
      <c r="T59">
        <v>125.1403720438248</v>
      </c>
      <c r="U59">
        <v>116.00097347254631</v>
      </c>
      <c r="V59">
        <v>142.0250161267177</v>
      </c>
      <c r="W59" s="6">
        <v>161.5672843806309</v>
      </c>
      <c r="X59" s="6">
        <f t="shared" si="4"/>
        <v>28.090162171791835</v>
      </c>
      <c r="Y59" s="5">
        <v>0.8</v>
      </c>
      <c r="Z59" s="6">
        <f>W59</f>
        <v>161.5672843806309</v>
      </c>
      <c r="AA59" s="6">
        <v>73.620105594042798</v>
      </c>
      <c r="AB59" s="6">
        <v>73.620105594042798</v>
      </c>
      <c r="AC59">
        <v>826.53584398937949</v>
      </c>
      <c r="AD59">
        <v>826.53584398937949</v>
      </c>
      <c r="AE59">
        <v>486.67598725296563</v>
      </c>
      <c r="AF59">
        <v>71.310464796899311</v>
      </c>
      <c r="AG59">
        <v>54.698629718924529</v>
      </c>
      <c r="AH59">
        <v>0</v>
      </c>
      <c r="AI59">
        <v>1853.408678013511</v>
      </c>
      <c r="AJ59">
        <v>308.90144633558521</v>
      </c>
      <c r="AK59">
        <v>0.23295087369416631</v>
      </c>
      <c r="AL59">
        <v>22027.905714625031</v>
      </c>
      <c r="AM59">
        <v>16896.485832750412</v>
      </c>
      <c r="AN59">
        <v>5131.419881874619</v>
      </c>
      <c r="AO59">
        <v>45210.378079793838</v>
      </c>
      <c r="AP59">
        <v>0.3737302484604097</v>
      </c>
      <c r="AQ59">
        <v>32.108720258620423</v>
      </c>
      <c r="AR59">
        <v>154.4507231677926</v>
      </c>
      <c r="AS59">
        <v>661.21143835281248</v>
      </c>
      <c r="AT59">
        <v>0.4</v>
      </c>
      <c r="AU59">
        <v>0.5</v>
      </c>
      <c r="AW59" s="7">
        <v>0.6</v>
      </c>
    </row>
    <row r="60" spans="1:49" x14ac:dyDescent="0.3">
      <c r="A60" t="s">
        <v>181</v>
      </c>
      <c r="B60" t="s">
        <v>52</v>
      </c>
      <c r="C60" t="s">
        <v>177</v>
      </c>
      <c r="D60" t="s">
        <v>53</v>
      </c>
      <c r="E60" t="s">
        <v>182</v>
      </c>
      <c r="F60" t="s">
        <v>169</v>
      </c>
      <c r="G60" t="s">
        <v>152</v>
      </c>
      <c r="H60">
        <v>6</v>
      </c>
      <c r="I60">
        <v>24</v>
      </c>
      <c r="J60">
        <v>55.628833887752918</v>
      </c>
      <c r="K60">
        <v>194.48411345947531</v>
      </c>
      <c r="L60">
        <v>89.856024866458029</v>
      </c>
      <c r="M60">
        <v>193.41700332588519</v>
      </c>
      <c r="N60">
        <v>127.1338025311707</v>
      </c>
      <c r="O60">
        <v>122.7752538092318</v>
      </c>
      <c r="P60">
        <v>160.56093879014949</v>
      </c>
      <c r="Q60">
        <v>115.5833107681246</v>
      </c>
      <c r="R60">
        <v>96.954176266444847</v>
      </c>
      <c r="S60">
        <v>180.55240540561499</v>
      </c>
      <c r="T60">
        <v>130.21610281284671</v>
      </c>
      <c r="U60">
        <v>160.01087639451731</v>
      </c>
      <c r="V60">
        <v>189.92597612523241</v>
      </c>
      <c r="W60" s="6">
        <v>156.3758318070575</v>
      </c>
      <c r="X60" s="6">
        <f t="shared" si="4"/>
        <v>37.840047542690442</v>
      </c>
      <c r="Y60" s="5">
        <v>0.8</v>
      </c>
      <c r="Z60" s="6">
        <f>W60</f>
        <v>156.3758318070575</v>
      </c>
      <c r="AA60" s="6">
        <v>85.517441328165532</v>
      </c>
      <c r="AB60" s="6">
        <v>85.517441328165532</v>
      </c>
      <c r="AC60">
        <v>689.51994384594263</v>
      </c>
      <c r="AD60">
        <v>689.51994384594263</v>
      </c>
      <c r="AE60">
        <v>18.08430801611394</v>
      </c>
      <c r="AF60">
        <v>75</v>
      </c>
      <c r="AG60">
        <v>49.5471053193762</v>
      </c>
      <c r="AH60">
        <v>0</v>
      </c>
      <c r="AI60">
        <v>1761.4699845551511</v>
      </c>
      <c r="AJ60">
        <v>293.57833075919189</v>
      </c>
      <c r="AK60">
        <v>0.33937192907498398</v>
      </c>
      <c r="AL60">
        <v>22018.374806939391</v>
      </c>
      <c r="AM60">
        <v>14545.956473612339</v>
      </c>
      <c r="AN60">
        <v>7472.4183333270494</v>
      </c>
      <c r="AO60">
        <v>34163.717277545293</v>
      </c>
      <c r="AP60">
        <v>0.42577206559348663</v>
      </c>
      <c r="AQ60">
        <v>28.184094189629651</v>
      </c>
      <c r="AR60">
        <v>146.78916537959589</v>
      </c>
      <c r="AS60">
        <v>1598.216267437444</v>
      </c>
      <c r="AT60">
        <v>0.4</v>
      </c>
      <c r="AU60">
        <v>0.5</v>
      </c>
      <c r="AW60" s="7">
        <v>0.6</v>
      </c>
    </row>
    <row r="61" spans="1:49" x14ac:dyDescent="0.3">
      <c r="A61" t="s">
        <v>183</v>
      </c>
      <c r="B61" t="s">
        <v>52</v>
      </c>
      <c r="C61" t="s">
        <v>177</v>
      </c>
      <c r="D61" t="s">
        <v>53</v>
      </c>
      <c r="E61" t="s">
        <v>184</v>
      </c>
      <c r="F61" t="s">
        <v>169</v>
      </c>
      <c r="G61" t="s">
        <v>185</v>
      </c>
      <c r="H61">
        <v>6</v>
      </c>
      <c r="I61">
        <v>24</v>
      </c>
      <c r="J61">
        <v>19.153111362041081</v>
      </c>
      <c r="K61">
        <v>176.96253886824709</v>
      </c>
      <c r="L61">
        <v>147.07506503909829</v>
      </c>
      <c r="M61">
        <v>177.48906808847099</v>
      </c>
      <c r="N61">
        <v>145.8571038405353</v>
      </c>
      <c r="O61">
        <v>124.365346133709</v>
      </c>
      <c r="P61">
        <v>139.9599970376585</v>
      </c>
      <c r="Q61">
        <v>120.0580247008475</v>
      </c>
      <c r="R61">
        <v>157.8419020610454</v>
      </c>
      <c r="S61">
        <v>113.8795088685583</v>
      </c>
      <c r="T61">
        <v>164.99701056673081</v>
      </c>
      <c r="U61">
        <v>125.5361386633012</v>
      </c>
      <c r="V61">
        <v>163.91445039189421</v>
      </c>
      <c r="W61" s="6">
        <v>152.10720085580056</v>
      </c>
      <c r="X61" s="6">
        <f t="shared" si="4"/>
        <v>22.153485335561125</v>
      </c>
      <c r="Y61" s="5">
        <v>0.8</v>
      </c>
      <c r="Z61" s="6">
        <f>W61</f>
        <v>152.10720085580056</v>
      </c>
      <c r="AA61" s="6">
        <v>34.719992675557727</v>
      </c>
      <c r="AB61" s="6">
        <v>34.719992675557727</v>
      </c>
      <c r="AC61">
        <v>412.09448530533768</v>
      </c>
      <c r="AD61">
        <v>412.09448530533768</v>
      </c>
      <c r="AE61">
        <v>261.75044417323079</v>
      </c>
      <c r="AF61">
        <v>75</v>
      </c>
      <c r="AG61">
        <v>81.117893002105774</v>
      </c>
      <c r="AH61">
        <v>0</v>
      </c>
      <c r="AI61">
        <v>1757.9361542600959</v>
      </c>
      <c r="AJ61">
        <v>292.9893590433494</v>
      </c>
      <c r="AK61">
        <v>-8.1571906694743651E-2</v>
      </c>
      <c r="AL61">
        <v>21974.201928251201</v>
      </c>
      <c r="AM61">
        <v>23766.67947763397</v>
      </c>
      <c r="AN61">
        <v>-1792.4775493827631</v>
      </c>
      <c r="AO61">
        <v>33428.236365756231</v>
      </c>
      <c r="AP61">
        <v>0.71097617049221506</v>
      </c>
      <c r="AQ61">
        <v>16.878202811906188</v>
      </c>
      <c r="AR61">
        <v>146.4946795216747</v>
      </c>
      <c r="AS61">
        <v>328.87048203067218</v>
      </c>
      <c r="AT61">
        <v>0.4</v>
      </c>
      <c r="AU61">
        <v>0.5</v>
      </c>
      <c r="AW61" s="7">
        <v>0.6</v>
      </c>
    </row>
    <row r="62" spans="1:49" x14ac:dyDescent="0.3">
      <c r="A62" t="s">
        <v>186</v>
      </c>
      <c r="B62" t="s">
        <v>56</v>
      </c>
      <c r="C62" t="s">
        <v>177</v>
      </c>
      <c r="D62" t="s">
        <v>134</v>
      </c>
      <c r="E62" t="s">
        <v>187</v>
      </c>
      <c r="F62" t="s">
        <v>169</v>
      </c>
      <c r="G62" t="s">
        <v>185</v>
      </c>
      <c r="H62">
        <v>6</v>
      </c>
      <c r="I62">
        <v>24</v>
      </c>
      <c r="J62">
        <v>33.155003509628592</v>
      </c>
      <c r="K62">
        <v>137.5216190048377</v>
      </c>
      <c r="L62">
        <v>114.45562828739639</v>
      </c>
      <c r="M62">
        <v>138.31557377343421</v>
      </c>
      <c r="N62">
        <v>178.6806653093663</v>
      </c>
      <c r="O62">
        <v>168.34588374549639</v>
      </c>
      <c r="P62">
        <v>188.92455424647781</v>
      </c>
      <c r="Q62">
        <v>154.1127805161523</v>
      </c>
      <c r="R62">
        <v>128.52996784786231</v>
      </c>
      <c r="S62">
        <v>135.98326556020771</v>
      </c>
      <c r="T62">
        <v>99.171615298837423</v>
      </c>
      <c r="U62">
        <v>138.2412566876155</v>
      </c>
      <c r="V62">
        <v>135.02638618447239</v>
      </c>
      <c r="W62" s="6">
        <v>149.62686266129109</v>
      </c>
      <c r="X62" s="6">
        <f t="shared" si="4"/>
        <v>25.726613312084122</v>
      </c>
      <c r="Y62" s="5">
        <v>0.8</v>
      </c>
      <c r="Z62" s="6">
        <f>W62</f>
        <v>149.62686266129109</v>
      </c>
      <c r="AA62" s="6">
        <v>56.202581865901671</v>
      </c>
      <c r="AB62" s="6">
        <v>56.202581865901671</v>
      </c>
      <c r="AC62">
        <v>177.5902584917753</v>
      </c>
      <c r="AD62">
        <v>177.5902584917753</v>
      </c>
      <c r="AE62">
        <v>255.7060560720856</v>
      </c>
      <c r="AF62">
        <v>76.67928098391674</v>
      </c>
      <c r="AG62">
        <v>52.847987304300062</v>
      </c>
      <c r="AH62">
        <v>0</v>
      </c>
      <c r="AI62">
        <v>1717.309196462156</v>
      </c>
      <c r="AJ62">
        <v>286.21819941035938</v>
      </c>
      <c r="AK62">
        <v>0.31079182503830771</v>
      </c>
      <c r="AL62">
        <v>21947.005735297658</v>
      </c>
      <c r="AM62">
        <v>15126.05576869829</v>
      </c>
      <c r="AN62">
        <v>6820.9499665993653</v>
      </c>
      <c r="AO62">
        <v>9385.2877261407048</v>
      </c>
      <c r="AP62">
        <v>1.6116773624923519</v>
      </c>
      <c r="AQ62">
        <v>7.4456589633068972</v>
      </c>
      <c r="AR62">
        <v>143.10909970517969</v>
      </c>
      <c r="AS62">
        <v>245.33356848211071</v>
      </c>
      <c r="AT62">
        <v>0.4</v>
      </c>
      <c r="AU62">
        <v>0.5</v>
      </c>
      <c r="AW62" s="7">
        <v>0.6</v>
      </c>
    </row>
    <row r="63" spans="1:49" x14ac:dyDescent="0.3">
      <c r="A63" t="s">
        <v>188</v>
      </c>
      <c r="B63" t="s">
        <v>64</v>
      </c>
      <c r="C63" t="s">
        <v>177</v>
      </c>
      <c r="D63" t="s">
        <v>70</v>
      </c>
      <c r="E63" t="s">
        <v>189</v>
      </c>
      <c r="F63" t="s">
        <v>169</v>
      </c>
      <c r="G63" t="s">
        <v>185</v>
      </c>
      <c r="H63">
        <v>6</v>
      </c>
      <c r="I63">
        <v>24</v>
      </c>
      <c r="J63">
        <v>75.421918393505663</v>
      </c>
      <c r="K63">
        <v>126.543290358677</v>
      </c>
      <c r="L63">
        <v>173.6848450185789</v>
      </c>
      <c r="M63">
        <v>147.87884235047389</v>
      </c>
      <c r="N63">
        <v>224.412309913896</v>
      </c>
      <c r="O63">
        <v>192.7603936259402</v>
      </c>
      <c r="P63">
        <v>144.8559889162425</v>
      </c>
      <c r="Q63">
        <v>121.3736315243295</v>
      </c>
      <c r="R63">
        <v>123.4202674517292</v>
      </c>
      <c r="S63">
        <v>182.12060164514699</v>
      </c>
      <c r="T63">
        <v>191.96429017611081</v>
      </c>
      <c r="U63">
        <v>133.96142473211509</v>
      </c>
      <c r="V63">
        <v>162.06416300192359</v>
      </c>
      <c r="W63" s="6">
        <v>168.7620619614402</v>
      </c>
      <c r="X63" s="6">
        <f t="shared" si="4"/>
        <v>32.927386177262449</v>
      </c>
      <c r="Y63" s="5">
        <v>0.8</v>
      </c>
      <c r="Z63" s="6">
        <f>W63</f>
        <v>168.7620619614402</v>
      </c>
      <c r="AA63" s="6">
        <v>49.991454817346721</v>
      </c>
      <c r="AB63" s="6">
        <v>49.991454817346721</v>
      </c>
      <c r="AC63">
        <v>167.38486892300179</v>
      </c>
      <c r="AD63">
        <v>167.38486892300179</v>
      </c>
      <c r="AE63">
        <v>278.82495664380258</v>
      </c>
      <c r="AF63">
        <v>67.762993255409413</v>
      </c>
      <c r="AG63">
        <v>33.660390026551099</v>
      </c>
      <c r="AH63">
        <v>0</v>
      </c>
      <c r="AI63">
        <v>1925.0400487151639</v>
      </c>
      <c r="AJ63">
        <v>320.84000811919401</v>
      </c>
      <c r="AK63">
        <v>0.50326294029427276</v>
      </c>
      <c r="AL63">
        <v>21741.07930624644</v>
      </c>
      <c r="AM63">
        <v>10799.59980941389</v>
      </c>
      <c r="AN63">
        <v>10941.47949683255</v>
      </c>
      <c r="AO63">
        <v>5634.239972491373</v>
      </c>
      <c r="AP63">
        <v>1.916780233384074</v>
      </c>
      <c r="AQ63">
        <v>6.2604986168988246</v>
      </c>
      <c r="AR63">
        <v>160.42000405959701</v>
      </c>
      <c r="AS63">
        <v>526.02033017576184</v>
      </c>
      <c r="AT63">
        <v>0.4</v>
      </c>
      <c r="AU63">
        <v>0.5</v>
      </c>
      <c r="AW63" s="7">
        <v>0.6</v>
      </c>
    </row>
    <row r="64" spans="1:49" x14ac:dyDescent="0.3">
      <c r="A64" t="s">
        <v>190</v>
      </c>
      <c r="B64" t="s">
        <v>52</v>
      </c>
      <c r="C64" t="s">
        <v>177</v>
      </c>
      <c r="D64" t="s">
        <v>53</v>
      </c>
      <c r="E64" t="s">
        <v>191</v>
      </c>
      <c r="F64" t="s">
        <v>169</v>
      </c>
      <c r="G64" t="s">
        <v>185</v>
      </c>
      <c r="H64">
        <v>6</v>
      </c>
      <c r="I64">
        <v>24</v>
      </c>
      <c r="J64">
        <v>57.362285225989567</v>
      </c>
      <c r="K64">
        <v>159.5775931185926</v>
      </c>
      <c r="L64">
        <v>120.9290932514705</v>
      </c>
      <c r="M64">
        <v>139.84826561354569</v>
      </c>
      <c r="N64">
        <v>159.31715931074001</v>
      </c>
      <c r="O64">
        <v>174.15472408756611</v>
      </c>
      <c r="P64">
        <v>148.32955381862121</v>
      </c>
      <c r="Q64">
        <v>141.45056790439409</v>
      </c>
      <c r="R64">
        <v>156.76152467349311</v>
      </c>
      <c r="S64">
        <v>115.60991348815151</v>
      </c>
      <c r="T64">
        <v>174.05015493422979</v>
      </c>
      <c r="U64">
        <v>142.19370465652901</v>
      </c>
      <c r="V64">
        <v>94.967294140951708</v>
      </c>
      <c r="W64" s="6">
        <v>149.96684985419955</v>
      </c>
      <c r="X64" s="6">
        <f t="shared" si="4"/>
        <v>23.81865576114842</v>
      </c>
      <c r="Y64" s="5">
        <v>0.8</v>
      </c>
      <c r="Z64" s="6">
        <f>W64</f>
        <v>149.96684985419955</v>
      </c>
      <c r="AA64" s="6">
        <v>60.895107882931001</v>
      </c>
      <c r="AB64" s="6">
        <v>60.895107882931001</v>
      </c>
      <c r="AC64">
        <v>663.9576403088472</v>
      </c>
      <c r="AD64">
        <v>663.9576403088472</v>
      </c>
      <c r="AE64">
        <v>364.54517334641417</v>
      </c>
      <c r="AF64">
        <v>75</v>
      </c>
      <c r="AG64">
        <v>55.851008636738193</v>
      </c>
      <c r="AH64">
        <v>0</v>
      </c>
      <c r="AI64">
        <v>1727.1895489982851</v>
      </c>
      <c r="AJ64">
        <v>287.86492483304761</v>
      </c>
      <c r="AK64">
        <v>0.25531988484349077</v>
      </c>
      <c r="AL64">
        <v>21589.86936247857</v>
      </c>
      <c r="AM64">
        <v>16077.546403064531</v>
      </c>
      <c r="AN64">
        <v>5512.3229594140385</v>
      </c>
      <c r="AO64">
        <v>37082.703903317728</v>
      </c>
      <c r="AP64">
        <v>0.4335591720868579</v>
      </c>
      <c r="AQ64">
        <v>27.677882910976582</v>
      </c>
      <c r="AR64">
        <v>143.9324624165238</v>
      </c>
      <c r="AS64">
        <v>1586.921980890462</v>
      </c>
      <c r="AT64">
        <v>0.4</v>
      </c>
      <c r="AU64">
        <v>0.5</v>
      </c>
      <c r="AW64" s="7">
        <v>0.6</v>
      </c>
    </row>
    <row r="65" spans="1:49" x14ac:dyDescent="0.3">
      <c r="A65" t="s">
        <v>192</v>
      </c>
      <c r="B65" t="s">
        <v>64</v>
      </c>
      <c r="C65" t="s">
        <v>177</v>
      </c>
      <c r="D65" t="s">
        <v>65</v>
      </c>
      <c r="E65" t="s">
        <v>193</v>
      </c>
      <c r="F65" t="s">
        <v>169</v>
      </c>
      <c r="G65" t="s">
        <v>185</v>
      </c>
      <c r="H65">
        <v>6</v>
      </c>
      <c r="I65">
        <v>24</v>
      </c>
      <c r="J65">
        <v>66.15161595507675</v>
      </c>
      <c r="K65">
        <v>164.36062575521649</v>
      </c>
      <c r="L65">
        <v>128.1008455101983</v>
      </c>
      <c r="M65">
        <v>87.643769953865558</v>
      </c>
      <c r="N65">
        <v>140.97864247232789</v>
      </c>
      <c r="O65">
        <v>155.41904228157361</v>
      </c>
      <c r="P65">
        <v>137.40893261128801</v>
      </c>
      <c r="Q65">
        <v>88.587825454305857</v>
      </c>
      <c r="R65">
        <v>155.57306520931891</v>
      </c>
      <c r="S65">
        <v>211.20862963143739</v>
      </c>
      <c r="T65">
        <v>146.0562490741722</v>
      </c>
      <c r="U65">
        <v>179.78379143314669</v>
      </c>
      <c r="V65">
        <v>126.2178504170151</v>
      </c>
      <c r="W65" s="6">
        <v>152.26920744094528</v>
      </c>
      <c r="X65" s="6">
        <f t="shared" si="4"/>
        <v>34.830744782161979</v>
      </c>
      <c r="Y65" s="5">
        <v>0.8</v>
      </c>
      <c r="Z65" s="6">
        <f>W65</f>
        <v>152.26920744094528</v>
      </c>
      <c r="AA65" s="6">
        <v>80.998260444959868</v>
      </c>
      <c r="AB65" s="6">
        <v>80.998260444959868</v>
      </c>
      <c r="AC65">
        <v>644.66994232001707</v>
      </c>
      <c r="AD65">
        <v>644.66994232001707</v>
      </c>
      <c r="AE65">
        <v>207.56979842553849</v>
      </c>
      <c r="AF65">
        <v>75</v>
      </c>
      <c r="AG65">
        <v>36.009094515823847</v>
      </c>
      <c r="AH65">
        <v>0</v>
      </c>
      <c r="AI65">
        <v>1721.339269803866</v>
      </c>
      <c r="AJ65">
        <v>286.88987830064428</v>
      </c>
      <c r="AK65">
        <v>0.51987873978901533</v>
      </c>
      <c r="AL65">
        <v>21516.740872548329</v>
      </c>
      <c r="AM65">
        <v>10330.644743361099</v>
      </c>
      <c r="AN65">
        <v>11186.096129187221</v>
      </c>
      <c r="AO65">
        <v>23213.980884512199</v>
      </c>
      <c r="AP65">
        <v>0.44501823253647349</v>
      </c>
      <c r="AQ65">
        <v>26.965187317390381</v>
      </c>
      <c r="AR65">
        <v>143.4449391503222</v>
      </c>
      <c r="AS65">
        <v>1776.9149350889691</v>
      </c>
      <c r="AT65">
        <v>0.4</v>
      </c>
      <c r="AU65">
        <v>0.5</v>
      </c>
      <c r="AW65" s="7">
        <v>0.6</v>
      </c>
    </row>
    <row r="66" spans="1:49" x14ac:dyDescent="0.3">
      <c r="A66" t="s">
        <v>194</v>
      </c>
      <c r="B66" t="s">
        <v>52</v>
      </c>
      <c r="C66" t="s">
        <v>177</v>
      </c>
      <c r="D66" t="s">
        <v>93</v>
      </c>
      <c r="E66" t="s">
        <v>195</v>
      </c>
      <c r="F66" t="s">
        <v>169</v>
      </c>
      <c r="G66" t="s">
        <v>185</v>
      </c>
      <c r="H66">
        <v>6</v>
      </c>
      <c r="I66">
        <v>24</v>
      </c>
      <c r="J66">
        <v>64.452345347453232</v>
      </c>
      <c r="K66">
        <v>65.438820607960224</v>
      </c>
      <c r="L66">
        <v>120.6155222156667</v>
      </c>
      <c r="M66">
        <v>153.22254436468941</v>
      </c>
      <c r="N66">
        <v>194.25123734108641</v>
      </c>
      <c r="O66">
        <v>139.015600476705</v>
      </c>
      <c r="P66">
        <v>136.35846623074031</v>
      </c>
      <c r="Q66">
        <v>116.04019543156031</v>
      </c>
      <c r="R66">
        <v>168.6038960237056</v>
      </c>
      <c r="S66">
        <v>204.24908522400071</v>
      </c>
      <c r="T66">
        <v>139.62439349270429</v>
      </c>
      <c r="U66">
        <v>165.35171350042219</v>
      </c>
      <c r="V66">
        <v>118.23539731849451</v>
      </c>
      <c r="W66" s="6">
        <v>152.9469633052199</v>
      </c>
      <c r="X66" s="6">
        <f t="shared" si="4"/>
        <v>37.615286833575745</v>
      </c>
      <c r="Y66" s="5">
        <v>0.8</v>
      </c>
      <c r="Z66" s="6">
        <f>W66</f>
        <v>152.9469633052199</v>
      </c>
      <c r="AA66" s="6">
        <v>15.652027954954679</v>
      </c>
      <c r="AB66" s="6">
        <v>15.652027954954679</v>
      </c>
      <c r="AC66">
        <v>152.32093264564961</v>
      </c>
      <c r="AD66">
        <v>152.32093264564961</v>
      </c>
      <c r="AE66">
        <v>164.58412296196909</v>
      </c>
      <c r="AF66">
        <v>75</v>
      </c>
      <c r="AG66">
        <v>60.399487289040799</v>
      </c>
      <c r="AH66">
        <v>0</v>
      </c>
      <c r="AI66">
        <v>1721.006872227736</v>
      </c>
      <c r="AJ66">
        <v>286.8344787046226</v>
      </c>
      <c r="AK66">
        <v>0.19467350281278931</v>
      </c>
      <c r="AL66">
        <v>21512.585902846691</v>
      </c>
      <c r="AM66">
        <v>17324.655450578499</v>
      </c>
      <c r="AN66">
        <v>4187.9304522681987</v>
      </c>
      <c r="AO66">
        <v>9200.1062351857508</v>
      </c>
      <c r="AP66">
        <v>1.8830929782441479</v>
      </c>
      <c r="AQ66">
        <v>6.3724946875374977</v>
      </c>
      <c r="AR66">
        <v>143.4172393523113</v>
      </c>
      <c r="AS66">
        <v>409.06005643848209</v>
      </c>
      <c r="AT66">
        <v>0.4</v>
      </c>
      <c r="AU66">
        <v>0.5</v>
      </c>
      <c r="AW66" s="7">
        <v>0.6</v>
      </c>
    </row>
    <row r="67" spans="1:49" x14ac:dyDescent="0.3">
      <c r="A67" t="s">
        <v>196</v>
      </c>
      <c r="B67" t="s">
        <v>52</v>
      </c>
      <c r="C67" t="s">
        <v>177</v>
      </c>
      <c r="D67" t="s">
        <v>53</v>
      </c>
      <c r="E67" t="s">
        <v>197</v>
      </c>
      <c r="F67" t="s">
        <v>169</v>
      </c>
      <c r="G67" t="s">
        <v>185</v>
      </c>
      <c r="H67">
        <v>6</v>
      </c>
      <c r="I67">
        <v>24</v>
      </c>
      <c r="J67">
        <v>43.104037598803671</v>
      </c>
      <c r="K67">
        <v>190.79383870703171</v>
      </c>
      <c r="L67">
        <v>140.50207861728271</v>
      </c>
      <c r="M67">
        <v>71.466587693430483</v>
      </c>
      <c r="N67">
        <v>147.1257807374059</v>
      </c>
      <c r="O67">
        <v>140.64191342768029</v>
      </c>
      <c r="P67">
        <v>135.3943904781772</v>
      </c>
      <c r="Q67">
        <v>135.8603132452117</v>
      </c>
      <c r="R67">
        <v>173.3975697483402</v>
      </c>
      <c r="S67">
        <v>165.6270516527002</v>
      </c>
      <c r="T67">
        <v>132.9460875844234</v>
      </c>
      <c r="U67">
        <v>129.55519575043579</v>
      </c>
      <c r="V67">
        <v>150.85728970589119</v>
      </c>
      <c r="W67" s="6">
        <v>150.22105179915368</v>
      </c>
      <c r="X67" s="6">
        <f t="shared" si="4"/>
        <v>29.105169398892411</v>
      </c>
      <c r="Y67" s="5">
        <v>0.8</v>
      </c>
      <c r="Z67" s="6">
        <f>W67</f>
        <v>150.22105179915368</v>
      </c>
      <c r="AA67" s="6">
        <v>58.375499740592673</v>
      </c>
      <c r="AB67" s="6">
        <v>58.375499740592673</v>
      </c>
      <c r="AC67">
        <v>162.8192999053926</v>
      </c>
      <c r="AD67">
        <v>162.8192999053926</v>
      </c>
      <c r="AE67">
        <v>229.91108102723959</v>
      </c>
      <c r="AF67">
        <v>75</v>
      </c>
      <c r="AG67">
        <v>27.319864497817932</v>
      </c>
      <c r="AH67">
        <v>0</v>
      </c>
      <c r="AI67">
        <v>1714.1680973480111</v>
      </c>
      <c r="AJ67">
        <v>285.69468289133511</v>
      </c>
      <c r="AK67">
        <v>0.63573514002909426</v>
      </c>
      <c r="AL67">
        <v>21427.101216850129</v>
      </c>
      <c r="AM67">
        <v>7805.1400243383368</v>
      </c>
      <c r="AN67">
        <v>13621.961192511801</v>
      </c>
      <c r="AO67">
        <v>4448.201211044905</v>
      </c>
      <c r="AP67">
        <v>1.754673328391291</v>
      </c>
      <c r="AQ67">
        <v>6.8388798107518767</v>
      </c>
      <c r="AR67">
        <v>142.84734144566761</v>
      </c>
      <c r="AS67">
        <v>292.42371770553888</v>
      </c>
      <c r="AT67">
        <v>0.4</v>
      </c>
      <c r="AU67">
        <v>0.5</v>
      </c>
      <c r="AW67" s="7">
        <v>0.6</v>
      </c>
    </row>
    <row r="68" spans="1:49" x14ac:dyDescent="0.3">
      <c r="A68" t="s">
        <v>198</v>
      </c>
      <c r="B68" t="s">
        <v>52</v>
      </c>
      <c r="C68" t="s">
        <v>177</v>
      </c>
      <c r="D68" t="s">
        <v>86</v>
      </c>
      <c r="E68" t="s">
        <v>199</v>
      </c>
      <c r="F68" t="s">
        <v>169</v>
      </c>
      <c r="G68" t="s">
        <v>185</v>
      </c>
      <c r="H68">
        <v>6</v>
      </c>
      <c r="I68">
        <v>24</v>
      </c>
      <c r="J68">
        <v>23.948179570909758</v>
      </c>
      <c r="K68">
        <v>154.64162894786571</v>
      </c>
      <c r="L68">
        <v>163.07138290940199</v>
      </c>
      <c r="M68">
        <v>117.7201913073077</v>
      </c>
      <c r="N68">
        <v>177.80134309432469</v>
      </c>
      <c r="O68">
        <v>152.8972749532841</v>
      </c>
      <c r="P68">
        <v>144.5226363706752</v>
      </c>
      <c r="Q68">
        <v>124.09317984420341</v>
      </c>
      <c r="R68">
        <v>147.9202470967721</v>
      </c>
      <c r="S68">
        <v>172.08830665040301</v>
      </c>
      <c r="T68">
        <v>141.45056790439409</v>
      </c>
      <c r="U68">
        <v>173.91434463788761</v>
      </c>
      <c r="V68">
        <v>208.7079739489127</v>
      </c>
      <c r="W68" s="6">
        <v>162.86018342496118</v>
      </c>
      <c r="X68" s="6">
        <f t="shared" si="4"/>
        <v>24.831914561645441</v>
      </c>
      <c r="Y68" s="5">
        <v>0.8</v>
      </c>
      <c r="Z68" s="6">
        <f>W68</f>
        <v>162.86018342496118</v>
      </c>
      <c r="AA68" s="6">
        <v>58.348643452253803</v>
      </c>
      <c r="AB68" s="6">
        <v>58.348643452253803</v>
      </c>
      <c r="AC68">
        <v>318.78109073152859</v>
      </c>
      <c r="AD68">
        <v>318.78109073152859</v>
      </c>
      <c r="AE68">
        <v>81.433797226054594</v>
      </c>
      <c r="AF68">
        <v>67.428510391552479</v>
      </c>
      <c r="AG68">
        <v>54.640034180730623</v>
      </c>
      <c r="AH68">
        <v>0</v>
      </c>
      <c r="AI68">
        <v>1878.8290776654319</v>
      </c>
      <c r="AJ68">
        <v>313.13817961090541</v>
      </c>
      <c r="AK68">
        <v>0.18965977650344201</v>
      </c>
      <c r="AL68">
        <v>21114.440997885758</v>
      </c>
      <c r="AM68">
        <v>17109.880837231631</v>
      </c>
      <c r="AN68">
        <v>4004.5601606541268</v>
      </c>
      <c r="AO68">
        <v>17418.209693741312</v>
      </c>
      <c r="AP68">
        <v>0.98229847602417664</v>
      </c>
      <c r="AQ68">
        <v>12.216246174553421</v>
      </c>
      <c r="AR68">
        <v>156.56908980545271</v>
      </c>
      <c r="AS68">
        <v>318.09278352704689</v>
      </c>
      <c r="AT68">
        <v>0.4</v>
      </c>
      <c r="AU68">
        <v>0.5</v>
      </c>
      <c r="AW68" s="7">
        <v>0.6</v>
      </c>
    </row>
    <row r="69" spans="1:49" x14ac:dyDescent="0.3">
      <c r="A69" t="s">
        <v>200</v>
      </c>
      <c r="B69" t="s">
        <v>52</v>
      </c>
      <c r="C69" t="s">
        <v>177</v>
      </c>
      <c r="D69" t="s">
        <v>53</v>
      </c>
      <c r="E69" t="s">
        <v>201</v>
      </c>
      <c r="F69" t="s">
        <v>169</v>
      </c>
      <c r="G69" t="s">
        <v>185</v>
      </c>
      <c r="H69">
        <v>6</v>
      </c>
      <c r="I69">
        <v>24</v>
      </c>
      <c r="J69">
        <v>11.86773277993103</v>
      </c>
      <c r="K69">
        <v>104.0437329414999</v>
      </c>
      <c r="L69">
        <v>157.05139200363189</v>
      </c>
      <c r="M69">
        <v>144.1277906145842</v>
      </c>
      <c r="N69">
        <v>174.7175421463908</v>
      </c>
      <c r="O69">
        <v>128.03488440695219</v>
      </c>
      <c r="P69">
        <v>137.77141172467961</v>
      </c>
      <c r="Q69">
        <v>224.92089935112739</v>
      </c>
      <c r="R69">
        <v>182.87993877165721</v>
      </c>
      <c r="S69">
        <v>206.55901986756359</v>
      </c>
      <c r="T69">
        <v>144.19562755065269</v>
      </c>
      <c r="U69">
        <v>148.46515947865561</v>
      </c>
      <c r="V69">
        <v>139.01314484101019</v>
      </c>
      <c r="W69" s="6">
        <v>166.28622283038322</v>
      </c>
      <c r="X69" s="6">
        <f t="shared" ref="X69:X100" si="7">_xlfn.STDEV.S(K69:V69)</f>
        <v>34.094900166351565</v>
      </c>
      <c r="Y69" s="5">
        <v>0.8</v>
      </c>
      <c r="Z69" s="6">
        <f>W69</f>
        <v>166.28622283038322</v>
      </c>
      <c r="AA69" s="6">
        <v>12.67830439161351</v>
      </c>
      <c r="AB69" s="6">
        <v>12.67830439161351</v>
      </c>
      <c r="AC69">
        <v>191.18930631427961</v>
      </c>
      <c r="AD69">
        <v>191.18930631427961</v>
      </c>
      <c r="AE69">
        <v>40.868969284929342</v>
      </c>
      <c r="AF69">
        <v>66.053956724753562</v>
      </c>
      <c r="AG69">
        <v>10.441908017212439</v>
      </c>
      <c r="AH69">
        <v>0</v>
      </c>
      <c r="AI69">
        <v>1891.7805436984049</v>
      </c>
      <c r="AJ69">
        <v>315.29675728306762</v>
      </c>
      <c r="AK69">
        <v>0.8419185082170958</v>
      </c>
      <c r="AL69">
        <v>20826.598361030869</v>
      </c>
      <c r="AM69">
        <v>3292.2997376751482</v>
      </c>
      <c r="AN69">
        <v>17534.29862335572</v>
      </c>
      <c r="AO69">
        <v>1996.381150408361</v>
      </c>
      <c r="AP69">
        <v>1.6491338525219521</v>
      </c>
      <c r="AQ69">
        <v>7.2765470077816277</v>
      </c>
      <c r="AR69">
        <v>157.64837864153381</v>
      </c>
      <c r="AS69">
        <v>94.540983238260438</v>
      </c>
      <c r="AT69">
        <v>0.4</v>
      </c>
      <c r="AU69">
        <v>0.5</v>
      </c>
      <c r="AW69" s="7">
        <v>0.6</v>
      </c>
    </row>
    <row r="70" spans="1:49" x14ac:dyDescent="0.3">
      <c r="A70" t="s">
        <v>202</v>
      </c>
      <c r="B70" t="s">
        <v>64</v>
      </c>
      <c r="C70" t="s">
        <v>177</v>
      </c>
      <c r="D70" t="s">
        <v>65</v>
      </c>
      <c r="E70" t="s">
        <v>203</v>
      </c>
      <c r="F70" t="s">
        <v>169</v>
      </c>
      <c r="G70" t="s">
        <v>185</v>
      </c>
      <c r="H70">
        <v>6</v>
      </c>
      <c r="I70">
        <v>24</v>
      </c>
      <c r="J70">
        <v>65.326395458845781</v>
      </c>
      <c r="K70">
        <v>114.4601984982728</v>
      </c>
      <c r="L70">
        <v>174.412702259724</v>
      </c>
      <c r="M70">
        <v>166.2613901011355</v>
      </c>
      <c r="N70">
        <v>140.07159203756601</v>
      </c>
      <c r="O70">
        <v>85.500272840727121</v>
      </c>
      <c r="P70">
        <v>110.5093535137712</v>
      </c>
      <c r="Q70">
        <v>152.11194901567069</v>
      </c>
      <c r="R70">
        <v>156.25402662990379</v>
      </c>
      <c r="S70">
        <v>171.27187599398891</v>
      </c>
      <c r="T70">
        <v>147.42533418611859</v>
      </c>
      <c r="U70">
        <v>137.31111645611239</v>
      </c>
      <c r="V70">
        <v>119.5975247959723</v>
      </c>
      <c r="W70" s="6">
        <v>146.52940748746974</v>
      </c>
      <c r="X70" s="6">
        <f t="shared" si="7"/>
        <v>27.355603074232128</v>
      </c>
      <c r="Y70" s="5">
        <v>0.8</v>
      </c>
      <c r="Z70" s="6">
        <f>W70</f>
        <v>146.52940748746974</v>
      </c>
      <c r="AA70" s="6">
        <v>12.96639912106693</v>
      </c>
      <c r="AB70" s="6">
        <v>12.96639912106693</v>
      </c>
      <c r="AC70">
        <v>500.20752586443678</v>
      </c>
      <c r="AD70">
        <v>500.20752586443678</v>
      </c>
      <c r="AE70">
        <v>298.76289949606871</v>
      </c>
      <c r="AF70">
        <v>73.793450727866457</v>
      </c>
      <c r="AG70">
        <v>37.930539872432632</v>
      </c>
      <c r="AH70">
        <v>0</v>
      </c>
      <c r="AI70">
        <v>1675.1873363289631</v>
      </c>
      <c r="AJ70">
        <v>279.19788938816049</v>
      </c>
      <c r="AK70">
        <v>0.48599043006794901</v>
      </c>
      <c r="AL70">
        <v>20602.97569388953</v>
      </c>
      <c r="AM70">
        <v>10590.126675736659</v>
      </c>
      <c r="AN70">
        <v>10012.84901815288</v>
      </c>
      <c r="AO70">
        <v>18973.1415042919</v>
      </c>
      <c r="AP70">
        <v>0.55816411179672465</v>
      </c>
      <c r="AQ70">
        <v>21.499053318516161</v>
      </c>
      <c r="AR70">
        <v>139.5989446940803</v>
      </c>
      <c r="AS70">
        <v>1361.5314435879591</v>
      </c>
      <c r="AT70">
        <v>0.4</v>
      </c>
      <c r="AU70">
        <v>0.5</v>
      </c>
      <c r="AW70" s="7">
        <v>0.6</v>
      </c>
    </row>
    <row r="71" spans="1:49" x14ac:dyDescent="0.3">
      <c r="A71" t="s">
        <v>204</v>
      </c>
      <c r="B71" t="s">
        <v>56</v>
      </c>
      <c r="C71" t="s">
        <v>177</v>
      </c>
      <c r="D71" t="s">
        <v>57</v>
      </c>
      <c r="E71" t="s">
        <v>205</v>
      </c>
      <c r="F71" t="s">
        <v>169</v>
      </c>
      <c r="G71" t="s">
        <v>185</v>
      </c>
      <c r="H71">
        <v>6</v>
      </c>
      <c r="I71">
        <v>24</v>
      </c>
      <c r="J71">
        <v>35.750297555467391</v>
      </c>
      <c r="K71">
        <v>127.65808075200771</v>
      </c>
      <c r="L71">
        <v>125.8959916107415</v>
      </c>
      <c r="M71">
        <v>212.59688234422359</v>
      </c>
      <c r="N71">
        <v>158.4705789049622</v>
      </c>
      <c r="O71">
        <v>112.5259079039097</v>
      </c>
      <c r="P71">
        <v>138.06758867431199</v>
      </c>
      <c r="Q71">
        <v>136.99925072287439</v>
      </c>
      <c r="R71">
        <v>115.48563103715421</v>
      </c>
      <c r="S71">
        <v>140.4417109064525</v>
      </c>
      <c r="T71">
        <v>155.80672576688809</v>
      </c>
      <c r="U71">
        <v>113.1585069437278</v>
      </c>
      <c r="V71">
        <v>158.80311290529789</v>
      </c>
      <c r="W71" s="6">
        <v>148.42374788167882</v>
      </c>
      <c r="X71" s="6">
        <f t="shared" si="7"/>
        <v>28.016571288080652</v>
      </c>
      <c r="Y71" s="5">
        <v>0.8</v>
      </c>
      <c r="Z71" s="6">
        <f>W71</f>
        <v>148.42374788167882</v>
      </c>
      <c r="AA71" s="6">
        <v>29.880977813043611</v>
      </c>
      <c r="AB71" s="6">
        <v>29.880977813043611</v>
      </c>
      <c r="AC71">
        <v>448.59462263863031</v>
      </c>
      <c r="AD71">
        <v>448.59462263863031</v>
      </c>
      <c r="AE71">
        <v>201.0646375711076</v>
      </c>
      <c r="AF71">
        <v>72.597125156407358</v>
      </c>
      <c r="AG71">
        <v>25.486312448500019</v>
      </c>
      <c r="AH71">
        <v>0</v>
      </c>
      <c r="AI71">
        <v>1695.909968472552</v>
      </c>
      <c r="AJ71">
        <v>282.65166141209193</v>
      </c>
      <c r="AK71">
        <v>0.64893496273315421</v>
      </c>
      <c r="AL71">
        <v>20519.69803920011</v>
      </c>
      <c r="AM71">
        <v>7203.7485568362099</v>
      </c>
      <c r="AN71">
        <v>13315.9494823639</v>
      </c>
      <c r="AO71">
        <v>11433.022715285089</v>
      </c>
      <c r="AP71">
        <v>0.63008258937554107</v>
      </c>
      <c r="AQ71">
        <v>19.045122341648732</v>
      </c>
      <c r="AR71">
        <v>141.32583070604599</v>
      </c>
      <c r="AS71">
        <v>668.22463504640166</v>
      </c>
      <c r="AT71">
        <v>0.4</v>
      </c>
      <c r="AU71">
        <v>0.5</v>
      </c>
      <c r="AW71" s="7">
        <v>0.6</v>
      </c>
    </row>
    <row r="72" spans="1:49" x14ac:dyDescent="0.3">
      <c r="A72" t="s">
        <v>206</v>
      </c>
      <c r="B72" t="s">
        <v>56</v>
      </c>
      <c r="C72" t="s">
        <v>177</v>
      </c>
      <c r="D72" t="s">
        <v>57</v>
      </c>
      <c r="E72" t="s">
        <v>207</v>
      </c>
      <c r="F72" t="s">
        <v>169</v>
      </c>
      <c r="G72" t="s">
        <v>185</v>
      </c>
      <c r="H72">
        <v>6</v>
      </c>
      <c r="I72">
        <v>24</v>
      </c>
      <c r="J72">
        <v>21.423688467055271</v>
      </c>
      <c r="K72">
        <v>167.19981810310861</v>
      </c>
      <c r="L72">
        <v>154.9484810915601</v>
      </c>
      <c r="M72">
        <v>131.8887317815097</v>
      </c>
      <c r="N72">
        <v>126.93694240297189</v>
      </c>
      <c r="O72">
        <v>121.44955159456001</v>
      </c>
      <c r="P72">
        <v>144.30548314194311</v>
      </c>
      <c r="Q72">
        <v>142.56818909998401</v>
      </c>
      <c r="R72">
        <v>158.05584932095371</v>
      </c>
      <c r="S72">
        <v>89.368717605248094</v>
      </c>
      <c r="T72">
        <v>186.54095053207129</v>
      </c>
      <c r="U72">
        <v>182.601019483991</v>
      </c>
      <c r="V72">
        <v>209.49077603872871</v>
      </c>
      <c r="W72" s="6">
        <v>159.55675745533225</v>
      </c>
      <c r="X72" s="6">
        <f t="shared" si="7"/>
        <v>32.671441024962604</v>
      </c>
      <c r="Y72" s="5">
        <v>0.8</v>
      </c>
      <c r="Z72" s="6">
        <f>W72</f>
        <v>159.55675745533225</v>
      </c>
      <c r="AA72" s="6">
        <v>51.058381908627581</v>
      </c>
      <c r="AB72" s="6">
        <v>51.058381908627581</v>
      </c>
      <c r="AC72">
        <v>373.10403759880381</v>
      </c>
      <c r="AD72">
        <v>373.10403759880381</v>
      </c>
      <c r="AE72">
        <v>179.97641129477421</v>
      </c>
      <c r="AF72">
        <v>67.809381389812927</v>
      </c>
      <c r="AG72">
        <v>54.105349894711139</v>
      </c>
      <c r="AH72">
        <v>0</v>
      </c>
      <c r="AI72">
        <v>1815.3545101966299</v>
      </c>
      <c r="AJ72">
        <v>302.55908503277169</v>
      </c>
      <c r="AK72">
        <v>0.20209639454343339</v>
      </c>
      <c r="AL72">
        <v>20516.344389940059</v>
      </c>
      <c r="AM72">
        <v>16370.06515952177</v>
      </c>
      <c r="AN72">
        <v>4146.2792304182831</v>
      </c>
      <c r="AO72">
        <v>20186.924501412741</v>
      </c>
      <c r="AP72">
        <v>0.81092417809241568</v>
      </c>
      <c r="AQ72">
        <v>14.797930958512421</v>
      </c>
      <c r="AR72">
        <v>151.27954251638579</v>
      </c>
      <c r="AS72">
        <v>333.05269447155189</v>
      </c>
      <c r="AT72">
        <v>0.4</v>
      </c>
      <c r="AU72">
        <v>0.5</v>
      </c>
      <c r="AW72" s="7">
        <v>0.6</v>
      </c>
    </row>
    <row r="73" spans="1:49" x14ac:dyDescent="0.3">
      <c r="A73" t="s">
        <v>208</v>
      </c>
      <c r="B73" t="s">
        <v>56</v>
      </c>
      <c r="C73" t="s">
        <v>177</v>
      </c>
      <c r="D73" t="s">
        <v>134</v>
      </c>
      <c r="E73" t="s">
        <v>209</v>
      </c>
      <c r="F73" t="s">
        <v>169</v>
      </c>
      <c r="G73" t="s">
        <v>185</v>
      </c>
      <c r="H73">
        <v>6</v>
      </c>
      <c r="I73">
        <v>24</v>
      </c>
      <c r="J73">
        <v>56.651814325388337</v>
      </c>
      <c r="K73">
        <v>175.2041672865744</v>
      </c>
      <c r="L73">
        <v>181.68431703670649</v>
      </c>
      <c r="M73">
        <v>90.801717457361519</v>
      </c>
      <c r="N73">
        <v>144.03185029223101</v>
      </c>
      <c r="O73">
        <v>132.8082991371048</v>
      </c>
      <c r="P73">
        <v>167.94905983842909</v>
      </c>
      <c r="Q73">
        <v>130.09611772431529</v>
      </c>
      <c r="R73">
        <v>174.15793005638989</v>
      </c>
      <c r="S73">
        <v>131.46840880508529</v>
      </c>
      <c r="T73">
        <v>167.3677562997909</v>
      </c>
      <c r="U73">
        <v>171.6303988054278</v>
      </c>
      <c r="V73">
        <v>172.00113158323799</v>
      </c>
      <c r="W73" s="6">
        <v>160.20311565862482</v>
      </c>
      <c r="X73" s="6">
        <f t="shared" si="7"/>
        <v>27.378851830350641</v>
      </c>
      <c r="Y73" s="5">
        <v>0.8</v>
      </c>
      <c r="Z73" s="6">
        <f>W73</f>
        <v>160.20311565862482</v>
      </c>
      <c r="AA73" s="6">
        <v>88.066347239600816</v>
      </c>
      <c r="AB73" s="6">
        <v>88.066347239600816</v>
      </c>
      <c r="AC73">
        <v>508.28882717368089</v>
      </c>
      <c r="AD73">
        <v>508.28882717368089</v>
      </c>
      <c r="AE73">
        <v>130.18066687800459</v>
      </c>
      <c r="AF73">
        <v>66.72048097170935</v>
      </c>
      <c r="AG73">
        <v>39</v>
      </c>
      <c r="AH73">
        <v>0</v>
      </c>
      <c r="AI73">
        <v>1839.201154322654</v>
      </c>
      <c r="AJ73">
        <v>306.53352572044241</v>
      </c>
      <c r="AK73">
        <v>0.41547183965090589</v>
      </c>
      <c r="AL73">
        <v>20452.064270021761</v>
      </c>
      <c r="AM73">
        <v>11954.80750309725</v>
      </c>
      <c r="AN73">
        <v>8497.2567669245018</v>
      </c>
      <c r="AO73">
        <v>19823.26425977355</v>
      </c>
      <c r="AP73">
        <v>0.60306957252023319</v>
      </c>
      <c r="AQ73">
        <v>19.898201711374512</v>
      </c>
      <c r="AR73">
        <v>153.26676286022121</v>
      </c>
      <c r="AS73">
        <v>1199.8118441963661</v>
      </c>
      <c r="AT73">
        <v>0.4</v>
      </c>
      <c r="AU73">
        <v>0.5</v>
      </c>
      <c r="AW73" s="7">
        <v>0.6</v>
      </c>
    </row>
    <row r="74" spans="1:49" x14ac:dyDescent="0.3">
      <c r="A74" t="s">
        <v>210</v>
      </c>
      <c r="B74" t="s">
        <v>44</v>
      </c>
      <c r="C74" t="s">
        <v>177</v>
      </c>
      <c r="D74" t="s">
        <v>46</v>
      </c>
      <c r="E74" t="s">
        <v>211</v>
      </c>
      <c r="F74" t="s">
        <v>169</v>
      </c>
      <c r="G74" t="s">
        <v>185</v>
      </c>
      <c r="H74">
        <v>6</v>
      </c>
      <c r="I74">
        <v>24</v>
      </c>
      <c r="J74">
        <v>78.617816705832098</v>
      </c>
      <c r="K74">
        <v>133.3892616152298</v>
      </c>
      <c r="L74">
        <v>125.3243059785746</v>
      </c>
      <c r="M74">
        <v>171.39005346180059</v>
      </c>
      <c r="N74">
        <v>105.4538135271287</v>
      </c>
      <c r="O74">
        <v>103.2410129177151</v>
      </c>
      <c r="P74">
        <v>136.840248311637</v>
      </c>
      <c r="Q74">
        <v>139.2484083829913</v>
      </c>
      <c r="R74">
        <v>152.20400124817391</v>
      </c>
      <c r="S74">
        <v>141.90131347859281</v>
      </c>
      <c r="T74">
        <v>169.89528755075301</v>
      </c>
      <c r="U74">
        <v>120.7634742662776</v>
      </c>
      <c r="V74">
        <v>96.283787721768022</v>
      </c>
      <c r="W74" s="6">
        <v>139.1711439534152</v>
      </c>
      <c r="X74" s="6">
        <f t="shared" si="7"/>
        <v>24.37984556330564</v>
      </c>
      <c r="Y74" s="5">
        <v>0.8</v>
      </c>
      <c r="Z74" s="6">
        <f>W74</f>
        <v>139.1711439534152</v>
      </c>
      <c r="AA74" s="6">
        <v>88.537553025910213</v>
      </c>
      <c r="AB74" s="6">
        <v>88.537553025910213</v>
      </c>
      <c r="AC74">
        <v>347.0534379100925</v>
      </c>
      <c r="AD74">
        <v>347.0534379100925</v>
      </c>
      <c r="AE74">
        <v>382.66117093735369</v>
      </c>
      <c r="AF74">
        <v>76.835535752433856</v>
      </c>
      <c r="AG74">
        <v>31.96844386120182</v>
      </c>
      <c r="AH74">
        <v>0</v>
      </c>
      <c r="AI74">
        <v>1595.934968460642</v>
      </c>
      <c r="AJ74">
        <v>265.98916141010699</v>
      </c>
      <c r="AK74">
        <v>0.58393673515591804</v>
      </c>
      <c r="AL74">
        <v>20437.41972128618</v>
      </c>
      <c r="AM74">
        <v>8503.2595742271569</v>
      </c>
      <c r="AN74">
        <v>11934.160147059019</v>
      </c>
      <c r="AO74">
        <v>11094.75834666588</v>
      </c>
      <c r="AP74">
        <v>0.76642134136995377</v>
      </c>
      <c r="AQ74">
        <v>15.65718404781159</v>
      </c>
      <c r="AR74">
        <v>132.99458070505349</v>
      </c>
      <c r="AS74">
        <v>1136.857648697689</v>
      </c>
      <c r="AT74">
        <v>0.4</v>
      </c>
      <c r="AU74">
        <v>0.5</v>
      </c>
      <c r="AW74" s="7">
        <v>0.6</v>
      </c>
    </row>
    <row r="75" spans="1:49" x14ac:dyDescent="0.3">
      <c r="A75" t="s">
        <v>212</v>
      </c>
      <c r="B75" t="s">
        <v>56</v>
      </c>
      <c r="C75" t="s">
        <v>177</v>
      </c>
      <c r="D75" t="s">
        <v>134</v>
      </c>
      <c r="E75" t="s">
        <v>213</v>
      </c>
      <c r="F75" t="s">
        <v>169</v>
      </c>
      <c r="G75" t="s">
        <v>185</v>
      </c>
      <c r="H75">
        <v>6</v>
      </c>
      <c r="I75">
        <v>24</v>
      </c>
      <c r="J75">
        <v>57.845698416089363</v>
      </c>
      <c r="K75">
        <v>183.4593323714216</v>
      </c>
      <c r="L75">
        <v>175.20089310564799</v>
      </c>
      <c r="M75">
        <v>131.34883298916981</v>
      </c>
      <c r="N75">
        <v>185.67438398022199</v>
      </c>
      <c r="O75">
        <v>102.4436134379357</v>
      </c>
      <c r="P75">
        <v>169.83812580874661</v>
      </c>
      <c r="Q75">
        <v>168.204991647508</v>
      </c>
      <c r="R75">
        <v>109.2869244224858</v>
      </c>
      <c r="S75">
        <v>126.9769829072175</v>
      </c>
      <c r="T75">
        <v>133.53086994029579</v>
      </c>
      <c r="U75">
        <v>179.60773599625099</v>
      </c>
      <c r="V75">
        <v>189.79289431299549</v>
      </c>
      <c r="W75" s="6">
        <v>162.63451446856652</v>
      </c>
      <c r="X75" s="6">
        <f t="shared" si="7"/>
        <v>31.65900047523272</v>
      </c>
      <c r="Y75" s="5">
        <v>0.8</v>
      </c>
      <c r="Z75" s="6">
        <f>W75</f>
        <v>162.63451446856652</v>
      </c>
      <c r="AA75" s="6">
        <v>18.716086306344799</v>
      </c>
      <c r="AB75" s="6">
        <v>18.716086306344799</v>
      </c>
      <c r="AC75">
        <v>306.28070925016021</v>
      </c>
      <c r="AD75">
        <v>306.28070925016021</v>
      </c>
      <c r="AE75">
        <v>240.65744304971301</v>
      </c>
      <c r="AF75">
        <v>66</v>
      </c>
      <c r="AG75">
        <v>55.289468062379832</v>
      </c>
      <c r="AH75">
        <v>0</v>
      </c>
      <c r="AI75">
        <v>1855.365580919897</v>
      </c>
      <c r="AJ75">
        <v>309.22759681998292</v>
      </c>
      <c r="AK75">
        <v>0.1622807869336389</v>
      </c>
      <c r="AL75">
        <v>20409.021390118869</v>
      </c>
      <c r="AM75">
        <v>17097.029338384909</v>
      </c>
      <c r="AN75">
        <v>3311.9920517339592</v>
      </c>
      <c r="AO75">
        <v>16934.097492209781</v>
      </c>
      <c r="AP75">
        <v>1.009621525224482</v>
      </c>
      <c r="AQ75">
        <v>11.88564199572893</v>
      </c>
      <c r="AR75">
        <v>154.6137984099914</v>
      </c>
      <c r="AS75">
        <v>738.20923074794655</v>
      </c>
      <c r="AT75">
        <v>0.4</v>
      </c>
      <c r="AU75">
        <v>0.5</v>
      </c>
      <c r="AW75" s="7">
        <v>0.6</v>
      </c>
    </row>
    <row r="76" spans="1:49" x14ac:dyDescent="0.3">
      <c r="A76" t="s">
        <v>214</v>
      </c>
      <c r="B76" t="s">
        <v>56</v>
      </c>
      <c r="C76" t="s">
        <v>177</v>
      </c>
      <c r="D76" t="s">
        <v>57</v>
      </c>
      <c r="E76" t="s">
        <v>215</v>
      </c>
      <c r="F76" t="s">
        <v>169</v>
      </c>
      <c r="G76" t="s">
        <v>185</v>
      </c>
      <c r="H76">
        <v>6</v>
      </c>
      <c r="I76">
        <v>24</v>
      </c>
      <c r="J76">
        <v>20.715659047212139</v>
      </c>
      <c r="K76">
        <v>164.33750185242391</v>
      </c>
      <c r="L76">
        <v>213.02852852968499</v>
      </c>
      <c r="M76">
        <v>76.170494291000068</v>
      </c>
      <c r="N76">
        <v>130.79996430533359</v>
      </c>
      <c r="O76">
        <v>169.77537067432419</v>
      </c>
      <c r="P76">
        <v>139.0671006141929</v>
      </c>
      <c r="Q76">
        <v>143.40549265980371</v>
      </c>
      <c r="R76">
        <v>175.83356035756881</v>
      </c>
      <c r="S76">
        <v>169.33826752065221</v>
      </c>
      <c r="T76">
        <v>169.21412149386009</v>
      </c>
      <c r="U76">
        <v>143.31378148781371</v>
      </c>
      <c r="V76">
        <v>161.43725967267531</v>
      </c>
      <c r="W76" s="6">
        <v>162.96893093512614</v>
      </c>
      <c r="X76" s="6">
        <f t="shared" si="7"/>
        <v>32.861940043784145</v>
      </c>
      <c r="Y76" s="5">
        <v>0.8</v>
      </c>
      <c r="Z76" s="6">
        <f>W76</f>
        <v>162.96893093512614</v>
      </c>
      <c r="AA76" s="6">
        <v>52.381664479506817</v>
      </c>
      <c r="AB76" s="6">
        <v>52.381664479506817</v>
      </c>
      <c r="AC76">
        <v>196.21875667592391</v>
      </c>
      <c r="AD76">
        <v>196.21875667592391</v>
      </c>
      <c r="AE76">
        <v>229.99691458971941</v>
      </c>
      <c r="AF76">
        <v>65.502182073427534</v>
      </c>
      <c r="AG76">
        <v>16.867885372478408</v>
      </c>
      <c r="AH76">
        <v>0</v>
      </c>
      <c r="AI76">
        <v>1855.7214434593329</v>
      </c>
      <c r="AJ76">
        <v>309.28690724322217</v>
      </c>
      <c r="AK76">
        <v>0.74248361140748531</v>
      </c>
      <c r="AL76">
        <v>20258.967311172841</v>
      </c>
      <c r="AM76">
        <v>5217.0160985870343</v>
      </c>
      <c r="AN76">
        <v>15041.9512125858</v>
      </c>
      <c r="AO76">
        <v>3309.7954955397181</v>
      </c>
      <c r="AP76">
        <v>1.5762351799733509</v>
      </c>
      <c r="AQ76">
        <v>7.6130771299006774</v>
      </c>
      <c r="AR76">
        <v>154.64345362161109</v>
      </c>
      <c r="AS76">
        <v>169.36670258193001</v>
      </c>
      <c r="AT76">
        <v>0.4</v>
      </c>
      <c r="AU76">
        <v>0.5</v>
      </c>
      <c r="AW76" s="7">
        <v>0.6</v>
      </c>
    </row>
    <row r="77" spans="1:49" x14ac:dyDescent="0.3">
      <c r="A77" t="s">
        <v>216</v>
      </c>
      <c r="B77" t="s">
        <v>64</v>
      </c>
      <c r="C77" t="s">
        <v>177</v>
      </c>
      <c r="D77" t="s">
        <v>65</v>
      </c>
      <c r="E77" t="s">
        <v>217</v>
      </c>
      <c r="F77" t="s">
        <v>218</v>
      </c>
      <c r="G77" t="s">
        <v>185</v>
      </c>
      <c r="H77">
        <v>6</v>
      </c>
      <c r="I77">
        <v>24</v>
      </c>
      <c r="J77">
        <v>77.968382824182868</v>
      </c>
      <c r="K77">
        <v>143.05471192201369</v>
      </c>
      <c r="L77">
        <v>157.6331389209372</v>
      </c>
      <c r="M77">
        <v>134.21237705770179</v>
      </c>
      <c r="N77">
        <v>139.7169573159772</v>
      </c>
      <c r="O77">
        <v>126.10455011454179</v>
      </c>
      <c r="P77">
        <v>144.13478235510411</v>
      </c>
      <c r="Q77">
        <v>140.14669356256491</v>
      </c>
      <c r="R77">
        <v>175.58509777372819</v>
      </c>
      <c r="S77">
        <v>117.5188291803352</v>
      </c>
      <c r="T77">
        <v>137.30108927702531</v>
      </c>
      <c r="U77">
        <v>136.4728579268558</v>
      </c>
      <c r="V77">
        <v>152.01304146685291</v>
      </c>
      <c r="W77" s="6">
        <v>145.77383916414826</v>
      </c>
      <c r="X77" s="6">
        <f t="shared" si="7"/>
        <v>14.930748675862342</v>
      </c>
      <c r="Y77" s="5">
        <v>0.8</v>
      </c>
      <c r="Z77" s="6">
        <f>W77</f>
        <v>145.77383916414826</v>
      </c>
      <c r="AA77" s="6">
        <v>25.693838312936801</v>
      </c>
      <c r="AB77" s="6">
        <v>25.693838312936801</v>
      </c>
      <c r="AC77">
        <v>804.63576158940396</v>
      </c>
      <c r="AD77">
        <v>804.63576158940396</v>
      </c>
      <c r="AE77">
        <v>412.91824067593552</v>
      </c>
      <c r="AF77">
        <v>70.831934568315688</v>
      </c>
      <c r="AG77">
        <v>62.462538529618207</v>
      </c>
      <c r="AH77">
        <v>0</v>
      </c>
      <c r="AI77">
        <v>1703.894126873638</v>
      </c>
      <c r="AJ77">
        <v>283.98235447893973</v>
      </c>
      <c r="AK77">
        <v>0.1181585126779983</v>
      </c>
      <c r="AL77">
        <v>20115.019551008481</v>
      </c>
      <c r="AM77">
        <v>17738.258758372471</v>
      </c>
      <c r="AN77">
        <v>2376.7607926360188</v>
      </c>
      <c r="AO77">
        <v>50259.59226058684</v>
      </c>
      <c r="AP77">
        <v>0.35293280268576038</v>
      </c>
      <c r="AQ77">
        <v>34.000806693744472</v>
      </c>
      <c r="AR77">
        <v>141.99117723946981</v>
      </c>
      <c r="AS77">
        <v>2614.006212234608</v>
      </c>
      <c r="AT77">
        <v>0.4</v>
      </c>
      <c r="AU77">
        <v>0.5</v>
      </c>
      <c r="AW77" s="7">
        <v>0.6</v>
      </c>
    </row>
    <row r="78" spans="1:49" x14ac:dyDescent="0.3">
      <c r="A78" t="s">
        <v>219</v>
      </c>
      <c r="B78" t="s">
        <v>52</v>
      </c>
      <c r="C78" t="s">
        <v>220</v>
      </c>
      <c r="D78" t="s">
        <v>53</v>
      </c>
      <c r="E78" t="s">
        <v>221</v>
      </c>
      <c r="F78" t="s">
        <v>218</v>
      </c>
      <c r="G78" t="s">
        <v>185</v>
      </c>
      <c r="H78">
        <v>6</v>
      </c>
      <c r="I78">
        <v>24</v>
      </c>
      <c r="J78">
        <v>72.064882351145968</v>
      </c>
      <c r="K78">
        <v>148.29507260074021</v>
      </c>
      <c r="L78">
        <v>160.61714556271909</v>
      </c>
      <c r="M78">
        <v>164.41731001250449</v>
      </c>
      <c r="N78">
        <v>85.933556116651744</v>
      </c>
      <c r="O78">
        <v>195.34999789029831</v>
      </c>
      <c r="P78">
        <v>203.11158020049331</v>
      </c>
      <c r="Q78">
        <v>147.46680714451941</v>
      </c>
      <c r="R78">
        <v>188.8024545827648</v>
      </c>
      <c r="S78">
        <v>115.60991348815151</v>
      </c>
      <c r="T78">
        <v>126.9153191664373</v>
      </c>
      <c r="U78">
        <v>103.3950358454604</v>
      </c>
      <c r="V78">
        <v>142.34080405585701</v>
      </c>
      <c r="W78" s="6">
        <v>148.52124972221645</v>
      </c>
      <c r="X78" s="6">
        <f t="shared" si="7"/>
        <v>36.602948840662542</v>
      </c>
      <c r="Y78" s="5">
        <v>0.8</v>
      </c>
      <c r="Z78" s="6">
        <f>W78</f>
        <v>148.52124972221645</v>
      </c>
      <c r="AA78" s="6">
        <v>44.886318552201907</v>
      </c>
      <c r="AB78" s="6">
        <v>44.886318552201907</v>
      </c>
      <c r="AC78">
        <v>764.22925504318368</v>
      </c>
      <c r="AD78">
        <v>764.22925504318368</v>
      </c>
      <c r="AE78">
        <v>361.78781278431421</v>
      </c>
      <c r="AF78">
        <v>66</v>
      </c>
      <c r="AG78">
        <v>62.41370891445662</v>
      </c>
      <c r="AH78">
        <v>0</v>
      </c>
      <c r="AI78">
        <v>1782.254996666597</v>
      </c>
      <c r="AJ78">
        <v>297.04249944443291</v>
      </c>
      <c r="AK78">
        <v>5.4337743720354242E-2</v>
      </c>
      <c r="AL78">
        <v>19604.804963332572</v>
      </c>
      <c r="AM78">
        <v>18539.52409554748</v>
      </c>
      <c r="AN78">
        <v>1065.280867785094</v>
      </c>
      <c r="AO78">
        <v>47698.382268177287</v>
      </c>
      <c r="AP78">
        <v>0.38868245030432408</v>
      </c>
      <c r="AQ78">
        <v>30.87353182682789</v>
      </c>
      <c r="AR78">
        <v>148.52124972221651</v>
      </c>
      <c r="AS78">
        <v>2294.75380641629</v>
      </c>
      <c r="AT78">
        <v>0.4</v>
      </c>
      <c r="AU78">
        <v>0.5</v>
      </c>
      <c r="AW78" s="7">
        <v>0.5</v>
      </c>
    </row>
    <row r="79" spans="1:49" x14ac:dyDescent="0.3">
      <c r="A79" t="s">
        <v>222</v>
      </c>
      <c r="B79" t="s">
        <v>52</v>
      </c>
      <c r="C79" t="s">
        <v>220</v>
      </c>
      <c r="D79" t="s">
        <v>53</v>
      </c>
      <c r="E79" t="s">
        <v>223</v>
      </c>
      <c r="F79" t="s">
        <v>218</v>
      </c>
      <c r="G79" t="s">
        <v>224</v>
      </c>
      <c r="H79">
        <v>6</v>
      </c>
      <c r="I79">
        <v>24</v>
      </c>
      <c r="J79">
        <v>45.335551011688587</v>
      </c>
      <c r="K79">
        <v>117.3409320166684</v>
      </c>
      <c r="L79">
        <v>186.03058758017141</v>
      </c>
      <c r="M79">
        <v>216.54172466369349</v>
      </c>
      <c r="N79">
        <v>174.2819396589766</v>
      </c>
      <c r="O79">
        <v>118.01343513652679</v>
      </c>
      <c r="P79">
        <v>87.137363303918391</v>
      </c>
      <c r="Q79">
        <v>143.90067841886781</v>
      </c>
      <c r="R79">
        <v>121.5863850724418</v>
      </c>
      <c r="S79">
        <v>145.57658156845719</v>
      </c>
      <c r="T79">
        <v>139.6170947977225</v>
      </c>
      <c r="U79">
        <v>203.47856131265871</v>
      </c>
      <c r="V79">
        <v>184.27971932978829</v>
      </c>
      <c r="W79" s="6">
        <v>153.14875023832428</v>
      </c>
      <c r="X79" s="6">
        <f t="shared" si="7"/>
        <v>39.594616060295465</v>
      </c>
      <c r="Y79" s="5">
        <v>0.8</v>
      </c>
      <c r="Z79" s="6">
        <f>W79</f>
        <v>153.14875023832428</v>
      </c>
      <c r="AA79" s="6">
        <v>37.205420087282938</v>
      </c>
      <c r="AB79" s="6">
        <v>37.205420087282938</v>
      </c>
      <c r="AC79">
        <v>229.98443556016721</v>
      </c>
      <c r="AD79">
        <v>229.98443556016721</v>
      </c>
      <c r="AE79">
        <v>261.15745362767478</v>
      </c>
      <c r="AF79">
        <v>60.919522690511798</v>
      </c>
      <c r="AG79">
        <v>11.591845454268009</v>
      </c>
      <c r="AH79">
        <v>0</v>
      </c>
      <c r="AI79">
        <v>1837.7850028598909</v>
      </c>
      <c r="AJ79">
        <v>306.29750047664862</v>
      </c>
      <c r="AK79">
        <v>0.80971870851388927</v>
      </c>
      <c r="AL79">
        <v>18659.49753033424</v>
      </c>
      <c r="AM79">
        <v>3550.5532885538942</v>
      </c>
      <c r="AN79">
        <v>15108.944241780349</v>
      </c>
      <c r="AO79">
        <v>2665.94403390052</v>
      </c>
      <c r="AP79">
        <v>1.3318183890601449</v>
      </c>
      <c r="AQ79">
        <v>9.01023750578209</v>
      </c>
      <c r="AR79">
        <v>153.14875023832431</v>
      </c>
      <c r="AS79">
        <v>434.43629625968202</v>
      </c>
      <c r="AT79">
        <v>0.4</v>
      </c>
      <c r="AU79">
        <v>0.5</v>
      </c>
      <c r="AW79" s="7">
        <v>0.5</v>
      </c>
    </row>
    <row r="80" spans="1:49" x14ac:dyDescent="0.3">
      <c r="A80" t="s">
        <v>225</v>
      </c>
      <c r="B80" t="s">
        <v>52</v>
      </c>
      <c r="C80" t="s">
        <v>220</v>
      </c>
      <c r="D80" t="s">
        <v>93</v>
      </c>
      <c r="E80" t="s">
        <v>226</v>
      </c>
      <c r="F80" t="s">
        <v>218</v>
      </c>
      <c r="G80" t="s">
        <v>224</v>
      </c>
      <c r="H80">
        <v>6</v>
      </c>
      <c r="I80">
        <v>24</v>
      </c>
      <c r="J80">
        <v>65.509506515701773</v>
      </c>
      <c r="K80">
        <v>169.02571966638789</v>
      </c>
      <c r="L80">
        <v>127.9628183205205</v>
      </c>
      <c r="M80">
        <v>116.9353428544127</v>
      </c>
      <c r="N80">
        <v>196.255308916443</v>
      </c>
      <c r="O80">
        <v>146.8558995533385</v>
      </c>
      <c r="P80">
        <v>123.4236098447582</v>
      </c>
      <c r="Q80">
        <v>142.30758476187481</v>
      </c>
      <c r="R80">
        <v>131.2205942362198</v>
      </c>
      <c r="S80">
        <v>155.25812993146249</v>
      </c>
      <c r="T80">
        <v>128.1427618472662</v>
      </c>
      <c r="U80">
        <v>119.0126060158946</v>
      </c>
      <c r="V80">
        <v>131.57379650365331</v>
      </c>
      <c r="W80" s="6">
        <v>140.66451437101932</v>
      </c>
      <c r="X80" s="6">
        <f t="shared" si="7"/>
        <v>23.292184804735651</v>
      </c>
      <c r="Y80" s="5">
        <v>0.8</v>
      </c>
      <c r="Z80" s="6">
        <f>W80</f>
        <v>140.66451437101932</v>
      </c>
      <c r="AA80" s="6">
        <v>19.543748283333841</v>
      </c>
      <c r="AB80" s="6">
        <v>19.543748283333841</v>
      </c>
      <c r="AC80">
        <v>822.84920804467902</v>
      </c>
      <c r="AD80">
        <v>822.84920804467902</v>
      </c>
      <c r="AE80">
        <v>263.16891484748339</v>
      </c>
      <c r="AF80">
        <v>62.914212469862967</v>
      </c>
      <c r="AG80">
        <v>51.37089144566179</v>
      </c>
      <c r="AH80">
        <v>0</v>
      </c>
      <c r="AI80">
        <v>1687.9741724522321</v>
      </c>
      <c r="AJ80">
        <v>281.32902874203859</v>
      </c>
      <c r="AK80">
        <v>0.18347715994586489</v>
      </c>
      <c r="AL80">
        <v>17699.594288216809</v>
      </c>
      <c r="AM80">
        <v>14452.122996020729</v>
      </c>
      <c r="AN80">
        <v>3247.4712921960722</v>
      </c>
      <c r="AO80">
        <v>42270.497342611983</v>
      </c>
      <c r="AP80">
        <v>0.34189621377962492</v>
      </c>
      <c r="AQ80">
        <v>35.098370547428189</v>
      </c>
      <c r="AR80">
        <v>140.66451437101929</v>
      </c>
      <c r="AS80">
        <v>2246.0185648267889</v>
      </c>
      <c r="AT80">
        <v>0.4</v>
      </c>
      <c r="AU80">
        <v>0.5</v>
      </c>
      <c r="AW80" s="7">
        <v>0.5</v>
      </c>
    </row>
    <row r="81" spans="1:49" x14ac:dyDescent="0.3">
      <c r="A81" t="s">
        <v>227</v>
      </c>
      <c r="B81" t="s">
        <v>64</v>
      </c>
      <c r="C81" t="s">
        <v>220</v>
      </c>
      <c r="D81" t="s">
        <v>65</v>
      </c>
      <c r="E81" t="s">
        <v>228</v>
      </c>
      <c r="F81" t="s">
        <v>218</v>
      </c>
      <c r="G81" t="s">
        <v>224</v>
      </c>
      <c r="H81">
        <v>6</v>
      </c>
      <c r="I81">
        <v>24</v>
      </c>
      <c r="J81">
        <v>80.98605304116947</v>
      </c>
      <c r="K81">
        <v>134.8415654923883</v>
      </c>
      <c r="L81">
        <v>166.6348172569997</v>
      </c>
      <c r="M81">
        <v>129.5001826896623</v>
      </c>
      <c r="N81">
        <v>158.77913635122241</v>
      </c>
      <c r="O81">
        <v>143.15607510652629</v>
      </c>
      <c r="P81">
        <v>136.80484623037049</v>
      </c>
      <c r="Q81">
        <v>119.9027739552548</v>
      </c>
      <c r="R81">
        <v>189.13860382454001</v>
      </c>
      <c r="S81">
        <v>149.24605162959779</v>
      </c>
      <c r="T81">
        <v>126.7947883810848</v>
      </c>
      <c r="U81">
        <v>123.2704054622445</v>
      </c>
      <c r="V81">
        <v>147.174177224224</v>
      </c>
      <c r="W81" s="6">
        <v>143.77028530034295</v>
      </c>
      <c r="X81" s="6">
        <f t="shared" si="7"/>
        <v>20.131906793734416</v>
      </c>
      <c r="Y81" s="5">
        <v>0.8</v>
      </c>
      <c r="Z81" s="6">
        <f>W81</f>
        <v>143.77028530034295</v>
      </c>
      <c r="AA81" s="6">
        <v>73.590807824945827</v>
      </c>
      <c r="AB81" s="6">
        <v>73.590807824945827</v>
      </c>
      <c r="AC81">
        <v>633.82976775414295</v>
      </c>
      <c r="AD81">
        <v>633.82976775414295</v>
      </c>
      <c r="AE81">
        <v>164.12050803774039</v>
      </c>
      <c r="AF81">
        <v>59.01272621845149</v>
      </c>
      <c r="AG81">
        <v>32.173528244880522</v>
      </c>
      <c r="AH81">
        <v>0</v>
      </c>
      <c r="AI81">
        <v>1725.2434236041149</v>
      </c>
      <c r="AJ81">
        <v>287.5405706006859</v>
      </c>
      <c r="AK81">
        <v>0.45480356006971201</v>
      </c>
      <c r="AL81">
        <v>16968.5529695556</v>
      </c>
      <c r="AM81">
        <v>9251.1946697702297</v>
      </c>
      <c r="AN81">
        <v>7717.3582997853691</v>
      </c>
      <c r="AO81">
        <v>20392.539935283981</v>
      </c>
      <c r="AP81">
        <v>0.45365583194290798</v>
      </c>
      <c r="AQ81">
        <v>26.45177060461593</v>
      </c>
      <c r="AR81">
        <v>143.77028530034289</v>
      </c>
      <c r="AS81">
        <v>2138.807132933714</v>
      </c>
      <c r="AT81">
        <v>0.4</v>
      </c>
      <c r="AU81">
        <v>0.5</v>
      </c>
      <c r="AW81" s="7">
        <v>0.5</v>
      </c>
    </row>
    <row r="82" spans="1:49" x14ac:dyDescent="0.3">
      <c r="A82" t="s">
        <v>229</v>
      </c>
      <c r="B82" t="s">
        <v>56</v>
      </c>
      <c r="C82" t="s">
        <v>220</v>
      </c>
      <c r="D82" t="s">
        <v>134</v>
      </c>
      <c r="E82" t="s">
        <v>230</v>
      </c>
      <c r="F82" t="s">
        <v>218</v>
      </c>
      <c r="G82" t="s">
        <v>224</v>
      </c>
      <c r="H82">
        <v>6</v>
      </c>
      <c r="I82">
        <v>24</v>
      </c>
      <c r="J82">
        <v>69.410992767113257</v>
      </c>
      <c r="K82">
        <v>160.57560439221561</v>
      </c>
      <c r="L82">
        <v>232.5639290269464</v>
      </c>
      <c r="M82">
        <v>132.1441861058702</v>
      </c>
      <c r="N82">
        <v>163.8505697577784</v>
      </c>
      <c r="O82">
        <v>136.97653609269759</v>
      </c>
      <c r="P82">
        <v>154.65093989987511</v>
      </c>
      <c r="Q82">
        <v>148.30199612915749</v>
      </c>
      <c r="R82">
        <v>184.27528554311721</v>
      </c>
      <c r="S82">
        <v>186.10630301409401</v>
      </c>
      <c r="T82">
        <v>182.09618171240439</v>
      </c>
      <c r="U82">
        <v>156.7121050051355</v>
      </c>
      <c r="V82">
        <v>195.4147993877996</v>
      </c>
      <c r="W82" s="6">
        <v>169.47236967225763</v>
      </c>
      <c r="X82" s="6">
        <f t="shared" si="7"/>
        <v>28.122366728326778</v>
      </c>
      <c r="Y82" s="5">
        <v>0.8</v>
      </c>
      <c r="Z82" s="6">
        <f>W82</f>
        <v>169.47236967225763</v>
      </c>
      <c r="AA82" s="6">
        <v>86.381725516525762</v>
      </c>
      <c r="AB82" s="6">
        <v>86.381725516525762</v>
      </c>
      <c r="AC82">
        <v>590.44465468306521</v>
      </c>
      <c r="AD82">
        <v>590.44465468306521</v>
      </c>
      <c r="AE82">
        <v>319.03974281158298</v>
      </c>
      <c r="AF82">
        <v>49.656971953489787</v>
      </c>
      <c r="AG82">
        <v>36</v>
      </c>
      <c r="AH82">
        <v>0</v>
      </c>
      <c r="AI82">
        <v>2033.668436067092</v>
      </c>
      <c r="AJ82">
        <v>338.94473934451531</v>
      </c>
      <c r="AK82">
        <v>0.27502627357707837</v>
      </c>
      <c r="AL82">
        <v>16830.9694154135</v>
      </c>
      <c r="AM82">
        <v>12202.010616402549</v>
      </c>
      <c r="AN82">
        <v>4628.958799010954</v>
      </c>
      <c r="AO82">
        <v>21256.00756859035</v>
      </c>
      <c r="AP82">
        <v>0.57404997514365119</v>
      </c>
      <c r="AQ82">
        <v>20.90410333524899</v>
      </c>
      <c r="AR82">
        <v>169.4723696722576</v>
      </c>
      <c r="AS82">
        <v>1707.639568982788</v>
      </c>
      <c r="AT82">
        <v>0.4</v>
      </c>
      <c r="AU82">
        <v>0.5</v>
      </c>
      <c r="AW82" s="7">
        <v>0.5</v>
      </c>
    </row>
    <row r="83" spans="1:49" x14ac:dyDescent="0.3">
      <c r="A83" t="s">
        <v>231</v>
      </c>
      <c r="B83" t="s">
        <v>64</v>
      </c>
      <c r="C83" t="s">
        <v>220</v>
      </c>
      <c r="D83" t="s">
        <v>65</v>
      </c>
      <c r="E83" t="s">
        <v>232</v>
      </c>
      <c r="F83" t="s">
        <v>218</v>
      </c>
      <c r="G83" t="s">
        <v>224</v>
      </c>
      <c r="H83">
        <v>6</v>
      </c>
      <c r="I83">
        <v>24</v>
      </c>
      <c r="J83">
        <v>71.898861659596548</v>
      </c>
      <c r="K83">
        <v>134.08311512321231</v>
      </c>
      <c r="L83">
        <v>128.63658336427761</v>
      </c>
      <c r="M83">
        <v>154.22631956098479</v>
      </c>
      <c r="N83">
        <v>177.7239223578363</v>
      </c>
      <c r="O83">
        <v>201.10027814225759</v>
      </c>
      <c r="P83">
        <v>148.8556737662293</v>
      </c>
      <c r="Q83">
        <v>144.78613972314631</v>
      </c>
      <c r="R83">
        <v>152.01993088921881</v>
      </c>
      <c r="S83">
        <v>136.9588691581157</v>
      </c>
      <c r="T83">
        <v>146.30842921760629</v>
      </c>
      <c r="U83">
        <v>154.1266957850894</v>
      </c>
      <c r="V83">
        <v>121.2176304456079</v>
      </c>
      <c r="W83" s="6">
        <v>150.0036322944652</v>
      </c>
      <c r="X83" s="6">
        <f t="shared" si="7"/>
        <v>21.677776337695061</v>
      </c>
      <c r="Y83" s="5">
        <v>0.8</v>
      </c>
      <c r="Z83" s="6">
        <f>W83</f>
        <v>150.0036322944652</v>
      </c>
      <c r="AA83" s="6">
        <v>19.866023743400369</v>
      </c>
      <c r="AB83" s="6">
        <v>19.866023743400369</v>
      </c>
      <c r="AC83">
        <v>864.1346476638081</v>
      </c>
      <c r="AD83">
        <v>864.1346476638081</v>
      </c>
      <c r="AE83">
        <v>539.05924409627914</v>
      </c>
      <c r="AF83">
        <v>52.750328073976867</v>
      </c>
      <c r="AG83">
        <v>12.343821527756591</v>
      </c>
      <c r="AH83">
        <v>0</v>
      </c>
      <c r="AI83">
        <v>1800.043587533582</v>
      </c>
      <c r="AJ83">
        <v>300.00726458893041</v>
      </c>
      <c r="AK83">
        <v>0.76599536005831748</v>
      </c>
      <c r="AL83">
        <v>15825.48163164246</v>
      </c>
      <c r="AM83">
        <v>3703.2361311162049</v>
      </c>
      <c r="AN83">
        <v>12122.24550052626</v>
      </c>
      <c r="AO83">
        <v>10666.723866712869</v>
      </c>
      <c r="AP83">
        <v>0.34717652555652218</v>
      </c>
      <c r="AQ83">
        <v>34.564548915754187</v>
      </c>
      <c r="AR83">
        <v>150.00363229446521</v>
      </c>
      <c r="AS83">
        <v>2588.7623953185139</v>
      </c>
      <c r="AT83">
        <v>0.4</v>
      </c>
      <c r="AU83">
        <v>0.5</v>
      </c>
      <c r="AW83" s="7">
        <v>0.5</v>
      </c>
    </row>
    <row r="84" spans="1:49" x14ac:dyDescent="0.3">
      <c r="A84" t="s">
        <v>233</v>
      </c>
      <c r="B84" t="s">
        <v>64</v>
      </c>
      <c r="C84" t="s">
        <v>220</v>
      </c>
      <c r="D84" t="s">
        <v>65</v>
      </c>
      <c r="E84" t="s">
        <v>234</v>
      </c>
      <c r="F84" t="s">
        <v>218</v>
      </c>
      <c r="G84" t="s">
        <v>224</v>
      </c>
      <c r="H84">
        <v>6</v>
      </c>
      <c r="I84">
        <v>24</v>
      </c>
      <c r="J84">
        <v>42.229987487411123</v>
      </c>
      <c r="K84">
        <v>97.301239444641396</v>
      </c>
      <c r="L84">
        <v>164.50752051823659</v>
      </c>
      <c r="M84">
        <v>175.05751126591349</v>
      </c>
      <c r="N84">
        <v>152.81661414192061</v>
      </c>
      <c r="O84">
        <v>188.34093149635009</v>
      </c>
      <c r="P84">
        <v>118.21527474821779</v>
      </c>
      <c r="Q84">
        <v>166.19764589122499</v>
      </c>
      <c r="R84">
        <v>171.3604835153092</v>
      </c>
      <c r="S84">
        <v>222.48381734825671</v>
      </c>
      <c r="T84">
        <v>171.010009731981</v>
      </c>
      <c r="U84">
        <v>159.28584995563139</v>
      </c>
      <c r="V84">
        <v>146.16968580085091</v>
      </c>
      <c r="W84" s="6">
        <v>161.0622153215445</v>
      </c>
      <c r="X84" s="6">
        <f t="shared" si="7"/>
        <v>31.837828823617802</v>
      </c>
      <c r="Y84" s="5">
        <v>0.8</v>
      </c>
      <c r="Z84" s="6">
        <f>W84</f>
        <v>161.0622153215445</v>
      </c>
      <c r="AA84" s="6">
        <v>34.680928983428451</v>
      </c>
      <c r="AB84" s="6">
        <v>34.680928983428451</v>
      </c>
      <c r="AC84">
        <v>885.86382641071805</v>
      </c>
      <c r="AD84">
        <v>885.86382641071805</v>
      </c>
      <c r="AE84">
        <v>436.75109458854422</v>
      </c>
      <c r="AF84">
        <v>48.34345530564287</v>
      </c>
      <c r="AG84">
        <v>20.014954069643242</v>
      </c>
      <c r="AH84">
        <v>0</v>
      </c>
      <c r="AI84">
        <v>1932.746583858534</v>
      </c>
      <c r="AJ84">
        <v>322.124430643089</v>
      </c>
      <c r="AK84">
        <v>0.58598420524345518</v>
      </c>
      <c r="AL84">
        <v>15572.60801564983</v>
      </c>
      <c r="AM84">
        <v>6447.3056840314048</v>
      </c>
      <c r="AN84">
        <v>9125.3023316184244</v>
      </c>
      <c r="AO84">
        <v>17730.523797568931</v>
      </c>
      <c r="AP84">
        <v>0.36362747979929438</v>
      </c>
      <c r="AQ84">
        <v>33.00080622791063</v>
      </c>
      <c r="AR84">
        <v>161.0622153215445</v>
      </c>
      <c r="AS84">
        <v>1558.750762703115</v>
      </c>
      <c r="AT84">
        <v>0.4</v>
      </c>
      <c r="AU84">
        <v>0.5</v>
      </c>
      <c r="AW84" s="7">
        <v>0.5</v>
      </c>
    </row>
    <row r="85" spans="1:49" x14ac:dyDescent="0.3">
      <c r="A85" t="s">
        <v>235</v>
      </c>
      <c r="B85" t="s">
        <v>44</v>
      </c>
      <c r="C85" t="s">
        <v>220</v>
      </c>
      <c r="D85" t="s">
        <v>79</v>
      </c>
      <c r="E85" t="s">
        <v>236</v>
      </c>
      <c r="F85" t="s">
        <v>218</v>
      </c>
      <c r="G85" t="s">
        <v>224</v>
      </c>
      <c r="H85">
        <v>6</v>
      </c>
      <c r="I85">
        <v>24</v>
      </c>
      <c r="J85">
        <v>76.418042542802212</v>
      </c>
      <c r="K85">
        <v>150.64378582465</v>
      </c>
      <c r="L85">
        <v>181.88547452737109</v>
      </c>
      <c r="M85">
        <v>162.8245233099733</v>
      </c>
      <c r="N85">
        <v>147.43454281997401</v>
      </c>
      <c r="O85">
        <v>151.85434601007731</v>
      </c>
      <c r="P85">
        <v>93.789953249506652</v>
      </c>
      <c r="Q85">
        <v>173.24856041013851</v>
      </c>
      <c r="R85">
        <v>132.8947920832434</v>
      </c>
      <c r="S85">
        <v>137.33621850988129</v>
      </c>
      <c r="T85">
        <v>151.12594307211111</v>
      </c>
      <c r="U85">
        <v>142.81641294146539</v>
      </c>
      <c r="V85">
        <v>162.61613533642961</v>
      </c>
      <c r="W85" s="6">
        <v>149.0392240079018</v>
      </c>
      <c r="X85" s="6">
        <f t="shared" si="7"/>
        <v>22.453127714364726</v>
      </c>
      <c r="Y85" s="5">
        <v>0.8</v>
      </c>
      <c r="Z85" s="6">
        <f>W85</f>
        <v>149.0392240079018</v>
      </c>
      <c r="AA85" s="6">
        <v>49.356669820245983</v>
      </c>
      <c r="AB85" s="6">
        <v>49.356669820245983</v>
      </c>
      <c r="AC85">
        <v>773.06741538743245</v>
      </c>
      <c r="AD85">
        <v>773.06741538743245</v>
      </c>
      <c r="AE85">
        <v>248.46613718546001</v>
      </c>
      <c r="AF85">
        <v>45.303811761833551</v>
      </c>
      <c r="AG85">
        <v>33</v>
      </c>
      <c r="AH85">
        <v>0</v>
      </c>
      <c r="AI85">
        <v>1788.470688094822</v>
      </c>
      <c r="AJ85">
        <v>298.07844801580359</v>
      </c>
      <c r="AK85">
        <v>0.27158447122542051</v>
      </c>
      <c r="AL85">
        <v>13504.089899167449</v>
      </c>
      <c r="AM85">
        <v>9836.5887845215184</v>
      </c>
      <c r="AN85">
        <v>3667.5011146459351</v>
      </c>
      <c r="AO85">
        <v>25511.22470778527</v>
      </c>
      <c r="AP85">
        <v>0.38557885390424562</v>
      </c>
      <c r="AQ85">
        <v>31.122038666000261</v>
      </c>
      <c r="AR85">
        <v>149.03922400790179</v>
      </c>
      <c r="AS85">
        <v>2461.5124432304569</v>
      </c>
      <c r="AT85">
        <v>0.4</v>
      </c>
      <c r="AU85">
        <v>0.5</v>
      </c>
      <c r="AW85" s="7">
        <v>0.5</v>
      </c>
    </row>
    <row r="86" spans="1:49" x14ac:dyDescent="0.3">
      <c r="A86" t="s">
        <v>237</v>
      </c>
      <c r="B86" t="s">
        <v>64</v>
      </c>
      <c r="C86" t="s">
        <v>220</v>
      </c>
      <c r="D86" t="s">
        <v>70</v>
      </c>
      <c r="E86" t="s">
        <v>238</v>
      </c>
      <c r="F86" t="s">
        <v>218</v>
      </c>
      <c r="G86" t="s">
        <v>224</v>
      </c>
      <c r="H86">
        <v>6</v>
      </c>
      <c r="I86">
        <v>24</v>
      </c>
      <c r="J86">
        <v>77.30185857722708</v>
      </c>
      <c r="K86">
        <v>185.433527045825</v>
      </c>
      <c r="L86">
        <v>135.92695646948411</v>
      </c>
      <c r="M86">
        <v>164.1473947223858</v>
      </c>
      <c r="N86">
        <v>170.1044940695283</v>
      </c>
      <c r="O86">
        <v>97.074365991284139</v>
      </c>
      <c r="P86">
        <v>137.64412794116649</v>
      </c>
      <c r="Q86">
        <v>148.18702463016959</v>
      </c>
      <c r="R86">
        <v>173.27335550944551</v>
      </c>
      <c r="S86">
        <v>168.79618594102789</v>
      </c>
      <c r="T86">
        <v>170.36956630035999</v>
      </c>
      <c r="U86">
        <v>114.3069941157592</v>
      </c>
      <c r="V86">
        <v>115.6187128493912</v>
      </c>
      <c r="W86" s="6">
        <v>148.40689213215228</v>
      </c>
      <c r="X86" s="6">
        <f t="shared" si="7"/>
        <v>28.204568647484752</v>
      </c>
      <c r="Y86" s="5">
        <v>0.8</v>
      </c>
      <c r="Z86" s="6">
        <f>W86</f>
        <v>148.40689213215228</v>
      </c>
      <c r="AA86" s="6">
        <v>68.295236060670803</v>
      </c>
      <c r="AB86" s="6">
        <v>68.295236060670803</v>
      </c>
      <c r="AC86">
        <v>711.49327066866044</v>
      </c>
      <c r="AD86">
        <v>711.49327066866044</v>
      </c>
      <c r="AE86">
        <v>235.36350176436829</v>
      </c>
      <c r="AF86">
        <v>43.863338114566488</v>
      </c>
      <c r="AG86">
        <v>35.799999999999997</v>
      </c>
      <c r="AH86">
        <v>0</v>
      </c>
      <c r="AI86">
        <v>1780.8827055858269</v>
      </c>
      <c r="AJ86">
        <v>296.81378426430462</v>
      </c>
      <c r="AK86">
        <v>0.1838286473661874</v>
      </c>
      <c r="AL86">
        <v>13019.243376249189</v>
      </c>
      <c r="AM86">
        <v>10625.9334766621</v>
      </c>
      <c r="AN86">
        <v>2393.3098995870828</v>
      </c>
      <c r="AO86">
        <v>25471.459089938038</v>
      </c>
      <c r="AP86">
        <v>0.41717019190548271</v>
      </c>
      <c r="AQ86">
        <v>28.765238343584279</v>
      </c>
      <c r="AR86">
        <v>148.40689213215231</v>
      </c>
      <c r="AS86">
        <v>2291.6563411615639</v>
      </c>
      <c r="AT86">
        <v>0.4</v>
      </c>
      <c r="AU86">
        <v>0.5</v>
      </c>
      <c r="AW86" s="7">
        <v>0.5</v>
      </c>
    </row>
    <row r="87" spans="1:49" x14ac:dyDescent="0.3">
      <c r="A87" t="s">
        <v>239</v>
      </c>
      <c r="B87" t="s">
        <v>52</v>
      </c>
      <c r="C87" t="s">
        <v>220</v>
      </c>
      <c r="D87" t="s">
        <v>86</v>
      </c>
      <c r="E87" t="s">
        <v>240</v>
      </c>
      <c r="F87" t="s">
        <v>218</v>
      </c>
      <c r="G87" t="s">
        <v>224</v>
      </c>
      <c r="H87">
        <v>6</v>
      </c>
      <c r="I87">
        <v>24</v>
      </c>
      <c r="J87">
        <v>14.768211920529801</v>
      </c>
      <c r="K87">
        <v>147.28481725469459</v>
      </c>
      <c r="L87">
        <v>107.5978563370882</v>
      </c>
      <c r="M87">
        <v>136.1800574763038</v>
      </c>
      <c r="N87">
        <v>169.65286173799541</v>
      </c>
      <c r="O87">
        <v>131.63198142719921</v>
      </c>
      <c r="P87">
        <v>107.4163439319818</v>
      </c>
      <c r="Q87">
        <v>167.6725961864577</v>
      </c>
      <c r="R87">
        <v>142.6604459687951</v>
      </c>
      <c r="S87">
        <v>155.31641717316231</v>
      </c>
      <c r="T87">
        <v>173.2052116189152</v>
      </c>
      <c r="U87">
        <v>149.05778622633079</v>
      </c>
      <c r="V87">
        <v>145.75048832411991</v>
      </c>
      <c r="W87" s="6">
        <v>144.452238638587</v>
      </c>
      <c r="X87" s="6">
        <f t="shared" si="7"/>
        <v>21.565632909786746</v>
      </c>
      <c r="Y87" s="5">
        <v>0.8</v>
      </c>
      <c r="Z87" s="6">
        <f>W87</f>
        <v>144.452238638587</v>
      </c>
      <c r="AA87" s="6">
        <v>63.683278908658103</v>
      </c>
      <c r="AB87" s="6">
        <v>63.683278908658103</v>
      </c>
      <c r="AC87">
        <v>473.03384502700891</v>
      </c>
      <c r="AD87">
        <v>473.03384502700891</v>
      </c>
      <c r="AE87">
        <v>529.51318770647049</v>
      </c>
      <c r="AF87">
        <v>43.907284768211923</v>
      </c>
      <c r="AG87">
        <v>22.234260078737751</v>
      </c>
      <c r="AH87">
        <v>0</v>
      </c>
      <c r="AI87">
        <v>1733.4268636630441</v>
      </c>
      <c r="AJ87">
        <v>288.90447727717401</v>
      </c>
      <c r="AK87">
        <v>0.49360885793523368</v>
      </c>
      <c r="AL87">
        <v>12685.01115462029</v>
      </c>
      <c r="AM87">
        <v>6423.5772856924686</v>
      </c>
      <c r="AN87">
        <v>6261.4338689278211</v>
      </c>
      <c r="AO87">
        <v>10517.557536375851</v>
      </c>
      <c r="AP87">
        <v>0.61074800527365725</v>
      </c>
      <c r="AQ87">
        <v>19.648037973735459</v>
      </c>
      <c r="AR87">
        <v>144.452238638587</v>
      </c>
      <c r="AS87">
        <v>291.07766953924659</v>
      </c>
      <c r="AT87">
        <v>0.4</v>
      </c>
      <c r="AU87">
        <v>0.5</v>
      </c>
      <c r="AW87" s="7">
        <v>0.5</v>
      </c>
    </row>
    <row r="88" spans="1:49" x14ac:dyDescent="0.3">
      <c r="A88" t="s">
        <v>241</v>
      </c>
      <c r="B88" t="s">
        <v>52</v>
      </c>
      <c r="C88" t="s">
        <v>220</v>
      </c>
      <c r="D88" t="s">
        <v>86</v>
      </c>
      <c r="E88" t="s">
        <v>242</v>
      </c>
      <c r="F88" t="s">
        <v>218</v>
      </c>
      <c r="G88" t="s">
        <v>224</v>
      </c>
      <c r="H88">
        <v>6</v>
      </c>
      <c r="I88">
        <v>24</v>
      </c>
      <c r="J88">
        <v>27.820368053224279</v>
      </c>
      <c r="K88">
        <v>148.91078914515671</v>
      </c>
      <c r="L88">
        <v>179.12602212745699</v>
      </c>
      <c r="M88">
        <v>177.08989086386279</v>
      </c>
      <c r="N88">
        <v>135.81413365172921</v>
      </c>
      <c r="O88">
        <v>139.44148273949389</v>
      </c>
      <c r="P88">
        <v>142.07020664471199</v>
      </c>
      <c r="Q88">
        <v>182.59685854573041</v>
      </c>
      <c r="R88">
        <v>107.0294448858476</v>
      </c>
      <c r="S88">
        <v>121.7477066951687</v>
      </c>
      <c r="T88">
        <v>144.81874510820489</v>
      </c>
      <c r="U88">
        <v>123.5186293037259</v>
      </c>
      <c r="V88">
        <v>132.2591234988067</v>
      </c>
      <c r="W88" s="6">
        <v>144.53525276749133</v>
      </c>
      <c r="X88" s="6">
        <f t="shared" si="7"/>
        <v>24.027782903862519</v>
      </c>
      <c r="Y88" s="5">
        <v>0.8</v>
      </c>
      <c r="Z88" s="6">
        <f>W88</f>
        <v>144.53525276749133</v>
      </c>
      <c r="AA88" s="6">
        <v>71.613208410901208</v>
      </c>
      <c r="AB88" s="6">
        <v>71.613208410901208</v>
      </c>
      <c r="AC88">
        <v>284.33179723502298</v>
      </c>
      <c r="AD88">
        <v>284.33179723502298</v>
      </c>
      <c r="AE88">
        <v>397.77697288081981</v>
      </c>
      <c r="AF88">
        <v>43.804742576372568</v>
      </c>
      <c r="AG88">
        <v>32.639851069673753</v>
      </c>
      <c r="AH88">
        <v>0</v>
      </c>
      <c r="AI88">
        <v>1734.4230332098959</v>
      </c>
      <c r="AJ88">
        <v>289.07050553498271</v>
      </c>
      <c r="AK88">
        <v>0.25487860103807441</v>
      </c>
      <c r="AL88">
        <v>12662.6590813818</v>
      </c>
      <c r="AM88">
        <v>9435.2182492971369</v>
      </c>
      <c r="AN88">
        <v>3227.440832084661</v>
      </c>
      <c r="AO88">
        <v>9280.5475161238264</v>
      </c>
      <c r="AP88">
        <v>1.0166661215736019</v>
      </c>
      <c r="AQ88">
        <v>11.8032850169398</v>
      </c>
      <c r="AR88">
        <v>144.5352527674913</v>
      </c>
      <c r="AS88">
        <v>329.59230201304501</v>
      </c>
      <c r="AT88">
        <v>0.4</v>
      </c>
      <c r="AU88">
        <v>0.5</v>
      </c>
      <c r="AW88" s="7">
        <v>0.5</v>
      </c>
    </row>
    <row r="89" spans="1:49" x14ac:dyDescent="0.3">
      <c r="A89" t="s">
        <v>243</v>
      </c>
      <c r="B89" t="s">
        <v>52</v>
      </c>
      <c r="C89" t="s">
        <v>220</v>
      </c>
      <c r="D89" t="s">
        <v>53</v>
      </c>
      <c r="E89" t="s">
        <v>244</v>
      </c>
      <c r="F89" t="s">
        <v>218</v>
      </c>
      <c r="G89" t="s">
        <v>245</v>
      </c>
      <c r="H89">
        <v>6</v>
      </c>
      <c r="I89">
        <v>24</v>
      </c>
      <c r="J89">
        <v>16.975310525833919</v>
      </c>
      <c r="K89">
        <v>146.36163465766001</v>
      </c>
      <c r="L89">
        <v>144.0973680168099</v>
      </c>
      <c r="M89">
        <v>148.0881511874031</v>
      </c>
      <c r="N89">
        <v>145.30028844674229</v>
      </c>
      <c r="O89">
        <v>161.70175210063459</v>
      </c>
      <c r="P89">
        <v>175.29905032133681</v>
      </c>
      <c r="Q89">
        <v>122.43398865975909</v>
      </c>
      <c r="R89">
        <v>148.38473740965131</v>
      </c>
      <c r="S89">
        <v>99.200537230353802</v>
      </c>
      <c r="T89">
        <v>117.2119429305894</v>
      </c>
      <c r="U89">
        <v>144.26107706312911</v>
      </c>
      <c r="V89">
        <v>154.34688445238859</v>
      </c>
      <c r="W89" s="6">
        <v>142.22395103970482</v>
      </c>
      <c r="X89" s="6">
        <f t="shared" si="7"/>
        <v>20.43872821360608</v>
      </c>
      <c r="Y89" s="5">
        <v>0.8</v>
      </c>
      <c r="Z89" s="6">
        <f>W89</f>
        <v>142.22395103970482</v>
      </c>
      <c r="AA89" s="6">
        <v>77.87072359385968</v>
      </c>
      <c r="AB89" s="6">
        <v>77.87072359385968</v>
      </c>
      <c r="AC89">
        <v>838.5235145115513</v>
      </c>
      <c r="AD89">
        <v>838.5235145115513</v>
      </c>
      <c r="AE89">
        <v>202.0539404329611</v>
      </c>
      <c r="AF89">
        <v>43.875545518356887</v>
      </c>
      <c r="AG89">
        <v>16.779992065187539</v>
      </c>
      <c r="AH89">
        <v>0</v>
      </c>
      <c r="AI89">
        <v>1706.6874124764579</v>
      </c>
      <c r="AJ89">
        <v>284.44790207940969</v>
      </c>
      <c r="AK89">
        <v>0.6175547935200707</v>
      </c>
      <c r="AL89">
        <v>12480.30687528626</v>
      </c>
      <c r="AM89">
        <v>4773.0335398517354</v>
      </c>
      <c r="AN89">
        <v>7707.2733354345264</v>
      </c>
      <c r="AO89">
        <v>14070.417919977001</v>
      </c>
      <c r="AP89">
        <v>0.33922471720438702</v>
      </c>
      <c r="AQ89">
        <v>35.37478076153824</v>
      </c>
      <c r="AR89">
        <v>142.22395103970479</v>
      </c>
      <c r="AS89">
        <v>593.09154341863291</v>
      </c>
      <c r="AT89">
        <v>0.4</v>
      </c>
      <c r="AU89">
        <v>0.5</v>
      </c>
      <c r="AW89" s="7">
        <v>0.5</v>
      </c>
    </row>
    <row r="90" spans="1:49" x14ac:dyDescent="0.3">
      <c r="A90" t="s">
        <v>246</v>
      </c>
      <c r="B90" t="s">
        <v>56</v>
      </c>
      <c r="C90" t="s">
        <v>220</v>
      </c>
      <c r="D90" t="s">
        <v>134</v>
      </c>
      <c r="E90" t="s">
        <v>244</v>
      </c>
      <c r="F90" t="s">
        <v>218</v>
      </c>
      <c r="G90" t="s">
        <v>245</v>
      </c>
      <c r="H90">
        <v>6</v>
      </c>
      <c r="I90">
        <v>24</v>
      </c>
      <c r="J90">
        <v>41.499984740745262</v>
      </c>
      <c r="K90">
        <v>131.94105046422919</v>
      </c>
      <c r="L90">
        <v>165.45120085211241</v>
      </c>
      <c r="M90">
        <v>147.92256630826159</v>
      </c>
      <c r="N90">
        <v>181.0461246044724</v>
      </c>
      <c r="O90">
        <v>156.61565309201251</v>
      </c>
      <c r="P90">
        <v>136.02422692783881</v>
      </c>
      <c r="Q90">
        <v>114.57568158803041</v>
      </c>
      <c r="R90">
        <v>167.19436113489789</v>
      </c>
      <c r="S90">
        <v>148.66965936234919</v>
      </c>
      <c r="T90">
        <v>142.2530150797684</v>
      </c>
      <c r="U90">
        <v>180.1694626614335</v>
      </c>
      <c r="V90">
        <v>197.7670255349949</v>
      </c>
      <c r="W90" s="6">
        <v>155.80250230086676</v>
      </c>
      <c r="X90" s="6">
        <f t="shared" si="7"/>
        <v>23.687938492529142</v>
      </c>
      <c r="Y90" s="5">
        <v>0.8</v>
      </c>
      <c r="Z90" s="6">
        <f>W90</f>
        <v>155.80250230086676</v>
      </c>
      <c r="AA90" s="6">
        <v>41.21189001129185</v>
      </c>
      <c r="AB90" s="6">
        <v>41.21189001129185</v>
      </c>
      <c r="AC90">
        <v>288.28699606311233</v>
      </c>
      <c r="AD90">
        <v>288.28699606311233</v>
      </c>
      <c r="AE90">
        <v>313.54071047098842</v>
      </c>
      <c r="AF90">
        <v>38.916898098696862</v>
      </c>
      <c r="AG90">
        <v>25</v>
      </c>
      <c r="AH90">
        <v>0</v>
      </c>
      <c r="AI90">
        <v>1869.6300276104009</v>
      </c>
      <c r="AJ90">
        <v>311.60500460173353</v>
      </c>
      <c r="AK90">
        <v>0.35760553329307793</v>
      </c>
      <c r="AL90">
        <v>12126.70021112963</v>
      </c>
      <c r="AM90">
        <v>7790.1251150433382</v>
      </c>
      <c r="AN90">
        <v>4336.5750960862924</v>
      </c>
      <c r="AO90">
        <v>7207.1749015778068</v>
      </c>
      <c r="AP90">
        <v>1.080884704676434</v>
      </c>
      <c r="AQ90">
        <v>11.10201666105751</v>
      </c>
      <c r="AR90">
        <v>155.80250230086679</v>
      </c>
      <c r="AS90">
        <v>498.49608073226869</v>
      </c>
      <c r="AT90">
        <v>0.4</v>
      </c>
      <c r="AU90">
        <v>0.5</v>
      </c>
      <c r="AW90" s="7">
        <v>0.5</v>
      </c>
    </row>
    <row r="91" spans="1:49" x14ac:dyDescent="0.3">
      <c r="A91" t="s">
        <v>247</v>
      </c>
      <c r="B91" t="s">
        <v>44</v>
      </c>
      <c r="C91" t="s">
        <v>220</v>
      </c>
      <c r="D91" t="s">
        <v>79</v>
      </c>
      <c r="E91" t="s">
        <v>248</v>
      </c>
      <c r="F91" t="s">
        <v>218</v>
      </c>
      <c r="G91" t="s">
        <v>245</v>
      </c>
      <c r="H91">
        <v>6</v>
      </c>
      <c r="I91">
        <v>24</v>
      </c>
      <c r="J91">
        <v>56.822717978453937</v>
      </c>
      <c r="K91">
        <v>112.5008740622434</v>
      </c>
      <c r="L91">
        <v>153.93447407986969</v>
      </c>
      <c r="M91">
        <v>228.74732546042651</v>
      </c>
      <c r="N91">
        <v>155.8581917983247</v>
      </c>
      <c r="O91">
        <v>176.54242052813061</v>
      </c>
      <c r="P91">
        <v>151.5463342606381</v>
      </c>
      <c r="Q91">
        <v>158.00827137936719</v>
      </c>
      <c r="R91">
        <v>185.03100742818791</v>
      </c>
      <c r="S91">
        <v>149.8129624145804</v>
      </c>
      <c r="T91">
        <v>171.27774223481541</v>
      </c>
      <c r="U91">
        <v>175.10307695047231</v>
      </c>
      <c r="V91">
        <v>116.91003616433591</v>
      </c>
      <c r="W91" s="6">
        <v>161.27272639678267</v>
      </c>
      <c r="X91" s="6">
        <f t="shared" si="7"/>
        <v>30.612407602518633</v>
      </c>
      <c r="Y91" s="5">
        <v>0.8</v>
      </c>
      <c r="Z91" s="6">
        <f>W91</f>
        <v>161.27272639678267</v>
      </c>
      <c r="AA91" s="6">
        <v>11.862849818414871</v>
      </c>
      <c r="AB91" s="6">
        <v>11.862849818414871</v>
      </c>
      <c r="AC91">
        <v>589.73662526322209</v>
      </c>
      <c r="AD91">
        <v>589.73662526322209</v>
      </c>
      <c r="AE91">
        <v>225.4481905256398</v>
      </c>
      <c r="AF91">
        <v>31.624195074312571</v>
      </c>
      <c r="AG91">
        <v>17.910397656178471</v>
      </c>
      <c r="AH91">
        <v>0</v>
      </c>
      <c r="AI91">
        <v>1935.2727167613921</v>
      </c>
      <c r="AJ91">
        <v>322.54545279356529</v>
      </c>
      <c r="AK91">
        <v>0.43364890034065778</v>
      </c>
      <c r="AL91">
        <v>10200.24031947619</v>
      </c>
      <c r="AM91">
        <v>5776.9173217248981</v>
      </c>
      <c r="AN91">
        <v>4423.3229977512883</v>
      </c>
      <c r="AO91">
        <v>10562.417470877021</v>
      </c>
      <c r="AP91">
        <v>0.54693135711149188</v>
      </c>
      <c r="AQ91">
        <v>21.94059609852247</v>
      </c>
      <c r="AR91">
        <v>161.2727263967827</v>
      </c>
      <c r="AS91">
        <v>1396.268247454052</v>
      </c>
      <c r="AT91">
        <v>0.4</v>
      </c>
      <c r="AU91">
        <v>0.5</v>
      </c>
      <c r="AW91" s="7">
        <v>0.5</v>
      </c>
    </row>
    <row r="92" spans="1:49" x14ac:dyDescent="0.3">
      <c r="A92" t="s">
        <v>249</v>
      </c>
      <c r="B92" t="s">
        <v>56</v>
      </c>
      <c r="C92" t="s">
        <v>220</v>
      </c>
      <c r="D92" t="s">
        <v>57</v>
      </c>
      <c r="E92" t="s">
        <v>250</v>
      </c>
      <c r="F92" t="s">
        <v>218</v>
      </c>
      <c r="G92" t="s">
        <v>245</v>
      </c>
      <c r="H92">
        <v>6</v>
      </c>
      <c r="I92">
        <v>24</v>
      </c>
      <c r="J92">
        <v>66.371349223303923</v>
      </c>
      <c r="K92">
        <v>134.73194864345709</v>
      </c>
      <c r="L92">
        <v>157.13870349500209</v>
      </c>
      <c r="M92">
        <v>148.95444489084181</v>
      </c>
      <c r="N92">
        <v>160.837300123967</v>
      </c>
      <c r="O92">
        <v>183.49780399730659</v>
      </c>
      <c r="P92">
        <v>102.5962721236283</v>
      </c>
      <c r="Q92">
        <v>153.46039996657049</v>
      </c>
      <c r="R92">
        <v>143.46661070376291</v>
      </c>
      <c r="S92">
        <v>174.86610810592541</v>
      </c>
      <c r="T92">
        <v>126.8690031487495</v>
      </c>
      <c r="U92">
        <v>117.71609858114969</v>
      </c>
      <c r="V92">
        <v>155.9588046497083</v>
      </c>
      <c r="W92" s="6">
        <v>146.67445820250575</v>
      </c>
      <c r="X92" s="6">
        <f t="shared" si="7"/>
        <v>23.208352384635752</v>
      </c>
      <c r="Y92" s="5">
        <v>0.8</v>
      </c>
      <c r="Z92" s="6">
        <f>W92</f>
        <v>146.67445820250575</v>
      </c>
      <c r="AA92" s="6">
        <v>17.844477675710319</v>
      </c>
      <c r="AB92" s="6">
        <v>17.844477675710319</v>
      </c>
      <c r="AC92">
        <v>319.39146092104858</v>
      </c>
      <c r="AD92">
        <v>319.39146092104858</v>
      </c>
      <c r="AE92">
        <v>203.8570136792259</v>
      </c>
      <c r="AF92">
        <v>33.801995910519729</v>
      </c>
      <c r="AG92">
        <v>17.705313272499769</v>
      </c>
      <c r="AH92">
        <v>0</v>
      </c>
      <c r="AI92">
        <v>1760.0934984300691</v>
      </c>
      <c r="AJ92">
        <v>293.34891640501161</v>
      </c>
      <c r="AK92">
        <v>0.47620509394270438</v>
      </c>
      <c r="AL92">
        <v>9915.7788726775943</v>
      </c>
      <c r="AM92">
        <v>5193.8344630990769</v>
      </c>
      <c r="AN92">
        <v>4721.9444095785166</v>
      </c>
      <c r="AO92">
        <v>5654.9258721685337</v>
      </c>
      <c r="AP92">
        <v>0.91846198880540963</v>
      </c>
      <c r="AQ92">
        <v>13.06532022692382</v>
      </c>
      <c r="AR92">
        <v>146.6744582025058</v>
      </c>
      <c r="AS92">
        <v>883.2684246555059</v>
      </c>
      <c r="AT92">
        <v>0.4</v>
      </c>
      <c r="AU92">
        <v>0.5</v>
      </c>
      <c r="AW92" s="7">
        <v>0.5</v>
      </c>
    </row>
    <row r="93" spans="1:49" x14ac:dyDescent="0.3">
      <c r="A93">
        <v>26000019</v>
      </c>
      <c r="B93" t="s">
        <v>64</v>
      </c>
      <c r="C93" t="s">
        <v>220</v>
      </c>
      <c r="D93" t="s">
        <v>70</v>
      </c>
      <c r="E93" t="s">
        <v>251</v>
      </c>
      <c r="F93" t="s">
        <v>218</v>
      </c>
      <c r="G93" t="s">
        <v>245</v>
      </c>
      <c r="H93">
        <v>6</v>
      </c>
      <c r="I93">
        <v>24</v>
      </c>
      <c r="J93">
        <v>13.335062715536971</v>
      </c>
      <c r="K93">
        <v>60</v>
      </c>
      <c r="L93">
        <v>78</v>
      </c>
      <c r="M93">
        <v>45</v>
      </c>
      <c r="N93">
        <v>90</v>
      </c>
      <c r="O93">
        <v>66</v>
      </c>
      <c r="P93">
        <v>45</v>
      </c>
      <c r="Q93">
        <v>78</v>
      </c>
      <c r="R93">
        <v>54</v>
      </c>
      <c r="S93">
        <v>47</v>
      </c>
      <c r="T93">
        <v>95</v>
      </c>
      <c r="U93">
        <v>78</v>
      </c>
      <c r="V93">
        <v>90</v>
      </c>
      <c r="W93" s="6">
        <v>68.83333333333333</v>
      </c>
      <c r="X93" s="6">
        <f t="shared" si="7"/>
        <v>18.467826240806087</v>
      </c>
      <c r="Y93" s="5">
        <v>0.8</v>
      </c>
      <c r="Z93" s="6">
        <f>W93</f>
        <v>68.83333333333333</v>
      </c>
      <c r="AA93" s="6">
        <v>54.085818048646502</v>
      </c>
      <c r="AB93" s="6">
        <v>54.085818048646502</v>
      </c>
      <c r="AC93">
        <v>225</v>
      </c>
      <c r="AD93">
        <v>150</v>
      </c>
      <c r="AE93">
        <v>125</v>
      </c>
      <c r="AF93">
        <v>70.228888821069972</v>
      </c>
      <c r="AG93">
        <v>40</v>
      </c>
      <c r="AH93">
        <v>0</v>
      </c>
      <c r="AI93">
        <v>826</v>
      </c>
      <c r="AJ93">
        <v>137.66666666666671</v>
      </c>
      <c r="AK93">
        <v>0.43043381902407007</v>
      </c>
      <c r="AL93">
        <v>9668.1770277006326</v>
      </c>
      <c r="AM93">
        <v>5506.6666666666661</v>
      </c>
      <c r="AN93">
        <v>4161.5103610339656</v>
      </c>
      <c r="AO93">
        <v>6000</v>
      </c>
      <c r="AP93">
        <v>0.91777777777777769</v>
      </c>
      <c r="AQ93">
        <v>13.075060532687649</v>
      </c>
      <c r="AR93">
        <v>68.833333333333329</v>
      </c>
      <c r="AS93">
        <v>125.0162129581591</v>
      </c>
      <c r="AT93">
        <v>0.4</v>
      </c>
      <c r="AU93">
        <v>0.5</v>
      </c>
      <c r="AW93" s="7">
        <v>0.5</v>
      </c>
    </row>
    <row r="94" spans="1:49" x14ac:dyDescent="0.3">
      <c r="A94">
        <v>34076279</v>
      </c>
      <c r="B94" t="s">
        <v>44</v>
      </c>
      <c r="C94" t="s">
        <v>220</v>
      </c>
      <c r="D94" t="s">
        <v>79</v>
      </c>
      <c r="E94" t="s">
        <v>252</v>
      </c>
      <c r="F94" t="s">
        <v>218</v>
      </c>
      <c r="G94" t="s">
        <v>245</v>
      </c>
      <c r="H94">
        <v>6</v>
      </c>
      <c r="I94">
        <v>24</v>
      </c>
      <c r="J94">
        <v>74.025391399884029</v>
      </c>
      <c r="K94">
        <v>115.4500243195798</v>
      </c>
      <c r="L94">
        <v>119.7390649089357</v>
      </c>
      <c r="M94">
        <v>115.5522742614266</v>
      </c>
      <c r="N94">
        <v>155.74594878344209</v>
      </c>
      <c r="O94">
        <v>65.438820607960224</v>
      </c>
      <c r="P94">
        <v>137.75149379071081</v>
      </c>
      <c r="Q94">
        <v>113.2703747920459</v>
      </c>
      <c r="R94">
        <v>87.603934085927904</v>
      </c>
      <c r="S94">
        <v>144.5226363706752</v>
      </c>
      <c r="T94">
        <v>203.73913154471671</v>
      </c>
      <c r="U94">
        <v>107.5915808236459</v>
      </c>
      <c r="V94">
        <v>96.180787446792237</v>
      </c>
      <c r="W94" s="6">
        <v>121.88217264465493</v>
      </c>
      <c r="X94" s="6">
        <f t="shared" si="7"/>
        <v>35.672208393369573</v>
      </c>
      <c r="Y94" s="5">
        <v>0.8</v>
      </c>
      <c r="Z94" s="6">
        <f>W94</f>
        <v>121.88217264465493</v>
      </c>
      <c r="AA94" s="6">
        <v>84.587237159337135</v>
      </c>
      <c r="AB94" s="6">
        <v>84.587237159337135</v>
      </c>
      <c r="AC94">
        <v>825.14419995727405</v>
      </c>
      <c r="AD94">
        <v>825.14419995727405</v>
      </c>
      <c r="AE94">
        <v>273.8428583543282</v>
      </c>
      <c r="AF94">
        <v>35.244911038544878</v>
      </c>
      <c r="AG94">
        <v>23</v>
      </c>
      <c r="AH94">
        <v>0</v>
      </c>
      <c r="AI94">
        <v>1462.5860717358589</v>
      </c>
      <c r="AJ94">
        <v>243.76434528930989</v>
      </c>
      <c r="AK94">
        <v>0.34742351953033668</v>
      </c>
      <c r="AL94">
        <v>8591.4526640908625</v>
      </c>
      <c r="AM94">
        <v>5606.5799416541267</v>
      </c>
      <c r="AN94">
        <v>2984.8727224367349</v>
      </c>
      <c r="AO94">
        <v>18978.3165990173</v>
      </c>
      <c r="AP94">
        <v>0.29542029781210599</v>
      </c>
      <c r="AQ94">
        <v>40.620093097435962</v>
      </c>
      <c r="AR94">
        <v>121.8821726446549</v>
      </c>
      <c r="AS94">
        <v>2545.067598465891</v>
      </c>
      <c r="AT94">
        <v>0.4</v>
      </c>
      <c r="AU94">
        <v>0.5</v>
      </c>
      <c r="AW94" s="7">
        <v>0.5</v>
      </c>
    </row>
    <row r="95" spans="1:49" x14ac:dyDescent="0.3">
      <c r="A95" t="s">
        <v>253</v>
      </c>
      <c r="B95" t="s">
        <v>44</v>
      </c>
      <c r="C95" t="s">
        <v>220</v>
      </c>
      <c r="D95" t="s">
        <v>79</v>
      </c>
      <c r="E95" t="s">
        <v>254</v>
      </c>
      <c r="F95" t="s">
        <v>218</v>
      </c>
      <c r="G95" t="s">
        <v>245</v>
      </c>
      <c r="H95">
        <v>6</v>
      </c>
      <c r="I95">
        <v>24</v>
      </c>
      <c r="J95">
        <v>43.038117618335519</v>
      </c>
      <c r="K95">
        <v>180.5871253658552</v>
      </c>
      <c r="L95">
        <v>159.89205091173059</v>
      </c>
      <c r="M95">
        <v>168.5483031600597</v>
      </c>
      <c r="N95">
        <v>185.776974982582</v>
      </c>
      <c r="O95">
        <v>111.9173195242183</v>
      </c>
      <c r="P95">
        <v>172.00713424826969</v>
      </c>
      <c r="Q95">
        <v>131.88320660119641</v>
      </c>
      <c r="R95">
        <v>137.5216190048377</v>
      </c>
      <c r="S95">
        <v>160.35122068060451</v>
      </c>
      <c r="T95">
        <v>105.6873717665439</v>
      </c>
      <c r="U95">
        <v>185.5582869815407</v>
      </c>
      <c r="V95">
        <v>137.0218971409486</v>
      </c>
      <c r="W95" s="6">
        <v>153.06270919736562</v>
      </c>
      <c r="X95" s="6">
        <f t="shared" si="7"/>
        <v>27.743969974902186</v>
      </c>
      <c r="Y95" s="5">
        <v>0.8</v>
      </c>
      <c r="Z95" s="6">
        <f>W95</f>
        <v>153.06270919736562</v>
      </c>
      <c r="AA95" s="6">
        <v>36.846522415845207</v>
      </c>
      <c r="AB95" s="6">
        <v>36.846522415845207</v>
      </c>
      <c r="AC95">
        <v>710.00396740623182</v>
      </c>
      <c r="AD95">
        <v>710.00396740623182</v>
      </c>
      <c r="AE95">
        <v>222.28974280005789</v>
      </c>
      <c r="AF95">
        <v>25.969725638599812</v>
      </c>
      <c r="AG95">
        <v>22.002319406720179</v>
      </c>
      <c r="AH95">
        <v>0</v>
      </c>
      <c r="AI95">
        <v>1836.752510368387</v>
      </c>
      <c r="AJ95">
        <v>306.12541839473118</v>
      </c>
      <c r="AK95">
        <v>0.15277043304541979</v>
      </c>
      <c r="AL95">
        <v>7949.9931267127467</v>
      </c>
      <c r="AM95">
        <v>6735.4692340367283</v>
      </c>
      <c r="AN95">
        <v>1214.523892676018</v>
      </c>
      <c r="AO95">
        <v>15621.73407091045</v>
      </c>
      <c r="AP95">
        <v>0.43116015184120832</v>
      </c>
      <c r="AQ95">
        <v>27.83188555054474</v>
      </c>
      <c r="AR95">
        <v>153.06270919736559</v>
      </c>
      <c r="AS95">
        <v>1273.2180941130939</v>
      </c>
      <c r="AT95">
        <v>0.4</v>
      </c>
      <c r="AU95">
        <v>0.5</v>
      </c>
      <c r="AW95" s="7">
        <v>0.5</v>
      </c>
    </row>
    <row r="96" spans="1:49" x14ac:dyDescent="0.3">
      <c r="A96" t="s">
        <v>255</v>
      </c>
      <c r="B96" t="s">
        <v>44</v>
      </c>
      <c r="C96" t="s">
        <v>220</v>
      </c>
      <c r="D96" t="s">
        <v>79</v>
      </c>
      <c r="E96" t="s">
        <v>256</v>
      </c>
      <c r="F96" t="s">
        <v>218</v>
      </c>
      <c r="G96" t="s">
        <v>245</v>
      </c>
      <c r="H96">
        <v>6</v>
      </c>
      <c r="I96">
        <v>24</v>
      </c>
      <c r="J96">
        <v>26.890163884395889</v>
      </c>
      <c r="K96">
        <v>134.4307581042813</v>
      </c>
      <c r="L96">
        <v>125.75625911849779</v>
      </c>
      <c r="M96">
        <v>163.37994035566231</v>
      </c>
      <c r="N96">
        <v>145.61832737526859</v>
      </c>
      <c r="O96">
        <v>86.0230503953062</v>
      </c>
      <c r="P96">
        <v>105.8574927505106</v>
      </c>
      <c r="Q96">
        <v>173.92382612015351</v>
      </c>
      <c r="R96">
        <v>182.71309196861691</v>
      </c>
      <c r="S96">
        <v>184.30618562560991</v>
      </c>
      <c r="T96">
        <v>187.96985765802671</v>
      </c>
      <c r="U96">
        <v>182.15320703020549</v>
      </c>
      <c r="V96">
        <v>171.83629703722539</v>
      </c>
      <c r="W96" s="6">
        <v>153.66402446161374</v>
      </c>
      <c r="X96" s="6">
        <f t="shared" si="7"/>
        <v>33.952728024987685</v>
      </c>
      <c r="Y96" s="5">
        <v>0.8</v>
      </c>
      <c r="Z96" s="6">
        <f>W96</f>
        <v>153.66402446161374</v>
      </c>
      <c r="AA96" s="6">
        <v>70.629291665395058</v>
      </c>
      <c r="AB96" s="6">
        <v>70.629291665395058</v>
      </c>
      <c r="AC96">
        <v>684.34400463881343</v>
      </c>
      <c r="AD96">
        <v>684.34400463881343</v>
      </c>
      <c r="AE96">
        <v>281.36233317491133</v>
      </c>
      <c r="AF96">
        <v>20.622882778405099</v>
      </c>
      <c r="AG96">
        <v>13.684194463942379</v>
      </c>
      <c r="AH96">
        <v>0</v>
      </c>
      <c r="AI96">
        <v>1843.968293539365</v>
      </c>
      <c r="AJ96">
        <v>307.32804892322753</v>
      </c>
      <c r="AK96">
        <v>0.33645578986311497</v>
      </c>
      <c r="AL96">
        <v>6337.9903274596691</v>
      </c>
      <c r="AM96">
        <v>4205.5367856894427</v>
      </c>
      <c r="AN96">
        <v>2132.4535417702259</v>
      </c>
      <c r="AO96">
        <v>9364.6964397106094</v>
      </c>
      <c r="AP96">
        <v>0.44908415481104508</v>
      </c>
      <c r="AQ96">
        <v>26.721049655045331</v>
      </c>
      <c r="AR96">
        <v>153.66402446161371</v>
      </c>
      <c r="AS96">
        <v>766.75510158506131</v>
      </c>
      <c r="AT96">
        <v>0.4</v>
      </c>
      <c r="AU96">
        <v>0.5</v>
      </c>
      <c r="AW96" s="7">
        <v>0.5</v>
      </c>
    </row>
    <row r="97" spans="1:49" x14ac:dyDescent="0.3">
      <c r="A97" t="s">
        <v>257</v>
      </c>
      <c r="B97" t="s">
        <v>56</v>
      </c>
      <c r="C97" t="s">
        <v>220</v>
      </c>
      <c r="D97" t="s">
        <v>57</v>
      </c>
      <c r="E97" t="s">
        <v>258</v>
      </c>
      <c r="F97" t="s">
        <v>218</v>
      </c>
      <c r="G97" t="s">
        <v>245</v>
      </c>
      <c r="H97">
        <v>6</v>
      </c>
      <c r="I97">
        <v>24</v>
      </c>
      <c r="J97">
        <v>26.467787713248089</v>
      </c>
      <c r="K97">
        <v>219.98670869506901</v>
      </c>
      <c r="L97">
        <v>145.33279151364701</v>
      </c>
      <c r="M97">
        <v>186.96864041558001</v>
      </c>
      <c r="N97">
        <v>167.05664089968201</v>
      </c>
      <c r="O97">
        <v>147.9961671670026</v>
      </c>
      <c r="P97">
        <v>163.27356358160611</v>
      </c>
      <c r="Q97">
        <v>163.29378847003679</v>
      </c>
      <c r="R97">
        <v>139.55860291971479</v>
      </c>
      <c r="S97">
        <v>133.29287791420941</v>
      </c>
      <c r="T97">
        <v>170.63044348687981</v>
      </c>
      <c r="U97">
        <v>141.5676198725123</v>
      </c>
      <c r="V97">
        <v>160.404835393274</v>
      </c>
      <c r="W97" s="6">
        <v>161.61355669410116</v>
      </c>
      <c r="X97" s="6">
        <f t="shared" si="7"/>
        <v>23.948988202233128</v>
      </c>
      <c r="Y97" s="5">
        <v>0.8</v>
      </c>
      <c r="Z97" s="6">
        <f>W97</f>
        <v>161.61355669410116</v>
      </c>
      <c r="AA97" s="6">
        <v>83.950010681478318</v>
      </c>
      <c r="AB97" s="6">
        <v>83.950010681478318</v>
      </c>
      <c r="AC97">
        <v>705.9022797326578</v>
      </c>
      <c r="AD97">
        <v>705.9022797326578</v>
      </c>
      <c r="AE97">
        <v>207.78739503293761</v>
      </c>
      <c r="AF97">
        <v>17.97875911740471</v>
      </c>
      <c r="AG97">
        <v>13.689077425458541</v>
      </c>
      <c r="AH97">
        <v>0</v>
      </c>
      <c r="AI97">
        <v>1939.3626803292141</v>
      </c>
      <c r="AJ97">
        <v>323.22711338820233</v>
      </c>
      <c r="AK97">
        <v>0.23859720595474529</v>
      </c>
      <c r="AL97">
        <v>5811.2224118205468</v>
      </c>
      <c r="AM97">
        <v>4424.6809811785679</v>
      </c>
      <c r="AN97">
        <v>1386.5414306419791</v>
      </c>
      <c r="AO97">
        <v>9663.1509620680463</v>
      </c>
      <c r="AP97">
        <v>0.45789215117794507</v>
      </c>
      <c r="AQ97">
        <v>26.20704453904602</v>
      </c>
      <c r="AR97">
        <v>161.61355669410111</v>
      </c>
      <c r="AS97">
        <v>778.48632026091059</v>
      </c>
      <c r="AT97">
        <v>0.4</v>
      </c>
      <c r="AU97">
        <v>0.5</v>
      </c>
      <c r="AW97" s="7">
        <v>0.5</v>
      </c>
    </row>
    <row r="98" spans="1:49" x14ac:dyDescent="0.3">
      <c r="A98">
        <v>26111121</v>
      </c>
      <c r="B98" t="s">
        <v>64</v>
      </c>
      <c r="C98" t="s">
        <v>220</v>
      </c>
      <c r="D98" t="s">
        <v>70</v>
      </c>
      <c r="E98" t="s">
        <v>259</v>
      </c>
      <c r="F98" t="s">
        <v>218</v>
      </c>
      <c r="G98" t="s">
        <v>245</v>
      </c>
      <c r="H98">
        <v>6</v>
      </c>
      <c r="I98">
        <v>24</v>
      </c>
      <c r="J98">
        <v>59.615771965697199</v>
      </c>
      <c r="K98">
        <v>147.38618043920721</v>
      </c>
      <c r="L98">
        <v>168.6678789759753</v>
      </c>
      <c r="M98">
        <v>155.43534497410289</v>
      </c>
      <c r="N98">
        <v>174.8434616878512</v>
      </c>
      <c r="O98">
        <v>142.3289351499989</v>
      </c>
      <c r="P98">
        <v>172.2088715418067</v>
      </c>
      <c r="Q98">
        <v>157.14579755367589</v>
      </c>
      <c r="R98">
        <v>140.5044660408748</v>
      </c>
      <c r="S98">
        <v>155.65713662581399</v>
      </c>
      <c r="T98">
        <v>196.4217464468675</v>
      </c>
      <c r="U98">
        <v>164.25779601049729</v>
      </c>
      <c r="V98">
        <v>132.65935801100571</v>
      </c>
      <c r="W98" s="6">
        <v>158.95974778813977</v>
      </c>
      <c r="X98" s="6">
        <f t="shared" si="7"/>
        <v>17.640368232717822</v>
      </c>
      <c r="Y98" s="5">
        <v>0.8</v>
      </c>
      <c r="Z98" s="6">
        <f>W98</f>
        <v>158.95974778813977</v>
      </c>
      <c r="AA98" s="6">
        <v>22.673726615192109</v>
      </c>
      <c r="AB98" s="6">
        <v>22.673726615192109</v>
      </c>
      <c r="AC98">
        <v>874.26679280983922</v>
      </c>
      <c r="AD98">
        <v>874.26679280983922</v>
      </c>
      <c r="AE98">
        <v>114</v>
      </c>
      <c r="AF98">
        <v>16.65547654652547</v>
      </c>
      <c r="AG98">
        <v>11</v>
      </c>
      <c r="AH98">
        <v>0</v>
      </c>
      <c r="AI98">
        <v>1907.516973457678</v>
      </c>
      <c r="AJ98">
        <v>317.91949557627959</v>
      </c>
      <c r="AK98">
        <v>0.33955657352267521</v>
      </c>
      <c r="AL98">
        <v>5295.1007022539316</v>
      </c>
      <c r="AM98">
        <v>3497.114451339075</v>
      </c>
      <c r="AN98">
        <v>1797.9862509148561</v>
      </c>
      <c r="AO98">
        <v>9616.9347209082316</v>
      </c>
      <c r="AP98">
        <v>0.36364127997416668</v>
      </c>
      <c r="AQ98">
        <v>32.999553848376308</v>
      </c>
      <c r="AR98">
        <v>158.95974778813979</v>
      </c>
      <c r="AS98">
        <v>2171.6704065555341</v>
      </c>
      <c r="AT98">
        <v>0.4</v>
      </c>
      <c r="AU98">
        <v>0.5</v>
      </c>
      <c r="AW98" s="7">
        <v>0.5</v>
      </c>
    </row>
    <row r="99" spans="1:49" x14ac:dyDescent="0.3">
      <c r="A99">
        <v>28260092</v>
      </c>
      <c r="B99" t="s">
        <v>56</v>
      </c>
      <c r="C99" t="s">
        <v>220</v>
      </c>
      <c r="D99" t="s">
        <v>134</v>
      </c>
      <c r="E99" t="s">
        <v>260</v>
      </c>
      <c r="F99" t="s">
        <v>218</v>
      </c>
      <c r="G99" t="s">
        <v>245</v>
      </c>
      <c r="H99">
        <v>6</v>
      </c>
      <c r="I99">
        <v>24</v>
      </c>
      <c r="J99">
        <v>40.474562822351757</v>
      </c>
      <c r="K99">
        <v>195.20661605056381</v>
      </c>
      <c r="L99">
        <v>170.1965121959802</v>
      </c>
      <c r="M99">
        <v>167.72996256477199</v>
      </c>
      <c r="N99">
        <v>137.34123209942479</v>
      </c>
      <c r="O99">
        <v>87.158099783118814</v>
      </c>
      <c r="P99">
        <v>152.77971139439609</v>
      </c>
      <c r="Q99">
        <v>141.84896068982201</v>
      </c>
      <c r="R99">
        <v>173.010670702206</v>
      </c>
      <c r="S99">
        <v>164.7426817420637</v>
      </c>
      <c r="T99">
        <v>148.2720851221529</v>
      </c>
      <c r="U99">
        <v>188.62305675284011</v>
      </c>
      <c r="V99">
        <v>167.8421032615006</v>
      </c>
      <c r="W99" s="6">
        <v>157.89597436323675</v>
      </c>
      <c r="X99" s="6">
        <f t="shared" si="7"/>
        <v>28.221770168696079</v>
      </c>
      <c r="Y99" s="5">
        <v>0.8</v>
      </c>
      <c r="Z99" s="6">
        <f>W99</f>
        <v>157.89597436323675</v>
      </c>
      <c r="AA99" s="6">
        <v>64.510940885647145</v>
      </c>
      <c r="AB99" s="6">
        <v>64.510940885647145</v>
      </c>
      <c r="AC99">
        <v>490.73458052308717</v>
      </c>
      <c r="AD99">
        <v>490.73458052308717</v>
      </c>
      <c r="AE99">
        <v>387.63747119810432</v>
      </c>
      <c r="AF99">
        <v>16.196478164006471</v>
      </c>
      <c r="AG99">
        <v>13.9</v>
      </c>
      <c r="AH99">
        <v>0</v>
      </c>
      <c r="AI99">
        <v>1894.751692358841</v>
      </c>
      <c r="AJ99">
        <v>315.79194872647349</v>
      </c>
      <c r="AK99">
        <v>0.14178873584443491</v>
      </c>
      <c r="AL99">
        <v>5114.717401917379</v>
      </c>
      <c r="AM99">
        <v>4389.5080872979815</v>
      </c>
      <c r="AN99">
        <v>725.20931461939745</v>
      </c>
      <c r="AO99">
        <v>6821.2106692709131</v>
      </c>
      <c r="AP99">
        <v>0.64350865266079738</v>
      </c>
      <c r="AQ99">
        <v>18.647767905500679</v>
      </c>
      <c r="AR99">
        <v>157.89597436323669</v>
      </c>
      <c r="AS99">
        <v>827.59448368675544</v>
      </c>
      <c r="AT99">
        <v>0.4</v>
      </c>
      <c r="AU99">
        <v>0.5</v>
      </c>
      <c r="AW99" s="7">
        <v>0.5</v>
      </c>
    </row>
    <row r="100" spans="1:49" x14ac:dyDescent="0.3">
      <c r="A100">
        <v>27002211</v>
      </c>
      <c r="B100" t="s">
        <v>64</v>
      </c>
      <c r="C100" t="s">
        <v>220</v>
      </c>
      <c r="D100" t="s">
        <v>70</v>
      </c>
      <c r="E100" t="s">
        <v>261</v>
      </c>
      <c r="F100" t="s">
        <v>218</v>
      </c>
      <c r="G100" t="s">
        <v>245</v>
      </c>
      <c r="H100">
        <v>6</v>
      </c>
      <c r="I100">
        <v>24</v>
      </c>
      <c r="J100">
        <v>40.049745170445867</v>
      </c>
      <c r="K100">
        <v>2</v>
      </c>
      <c r="L100">
        <v>198</v>
      </c>
      <c r="M100">
        <v>14</v>
      </c>
      <c r="N100">
        <v>27</v>
      </c>
      <c r="O100">
        <v>147</v>
      </c>
      <c r="P100">
        <v>67</v>
      </c>
      <c r="Q100">
        <v>30</v>
      </c>
      <c r="R100">
        <v>23</v>
      </c>
      <c r="S100">
        <v>139</v>
      </c>
      <c r="T100">
        <v>181</v>
      </c>
      <c r="U100">
        <v>170</v>
      </c>
      <c r="V100">
        <v>66</v>
      </c>
      <c r="W100" s="6">
        <f>AVERAGE(K100:V100)</f>
        <v>88.666666666666671</v>
      </c>
      <c r="X100" s="6">
        <f t="shared" si="7"/>
        <v>73.023449948795516</v>
      </c>
      <c r="Y100" s="5">
        <v>0.8</v>
      </c>
      <c r="Z100" s="6">
        <f>NORMINV(Y100,W100,X100)</f>
        <v>150.12475269232195</v>
      </c>
      <c r="AA100" s="6">
        <v>38.750877407147428</v>
      </c>
      <c r="AB100" s="6">
        <v>38.750877407147428</v>
      </c>
      <c r="AC100">
        <v>492.95632801293982</v>
      </c>
      <c r="AD100">
        <v>492.95632801293982</v>
      </c>
      <c r="AE100">
        <v>90</v>
      </c>
      <c r="AF100">
        <v>13.34482863856929</v>
      </c>
      <c r="AG100">
        <v>9</v>
      </c>
      <c r="AH100">
        <v>0</v>
      </c>
      <c r="AI100">
        <v>1795.671021224553</v>
      </c>
      <c r="AJ100">
        <v>299.27850353742542</v>
      </c>
      <c r="AK100">
        <v>0.32558144853294307</v>
      </c>
      <c r="AL100">
        <v>3993.8203449143962</v>
      </c>
      <c r="AM100">
        <v>2693.5065318368288</v>
      </c>
      <c r="AN100">
        <v>1300.3138130775669</v>
      </c>
      <c r="AO100">
        <v>4436.6069521164582</v>
      </c>
      <c r="AP100">
        <v>0.60710956839480834</v>
      </c>
      <c r="AQ100">
        <v>19.765789611466481</v>
      </c>
      <c r="AR100">
        <v>149.63925176871271</v>
      </c>
      <c r="AS100">
        <v>822.61563821154027</v>
      </c>
      <c r="AT100">
        <v>0.4</v>
      </c>
      <c r="AU100">
        <v>0.5</v>
      </c>
      <c r="AW100" s="7">
        <v>0.5</v>
      </c>
    </row>
    <row r="106" spans="1:47" x14ac:dyDescent="0.3">
      <c r="AL106">
        <v>2334436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5B84-8313-4846-B61B-09A6C492C7F0}">
  <dimension ref="A1:B43"/>
  <sheetViews>
    <sheetView topLeftCell="A16" workbookViewId="0">
      <selection activeCell="A24" sqref="A24"/>
    </sheetView>
  </sheetViews>
  <sheetFormatPr defaultRowHeight="14.4" x14ac:dyDescent="0.3"/>
  <cols>
    <col min="1" max="1" width="61.09765625" customWidth="1"/>
    <col min="2" max="2" width="8.8984375" customWidth="1"/>
  </cols>
  <sheetData>
    <row r="1" spans="1:2" x14ac:dyDescent="0.3">
      <c r="A1" s="1" t="s">
        <v>262</v>
      </c>
    </row>
    <row r="2" spans="1:2" x14ac:dyDescent="0.3">
      <c r="A2" s="3" t="s">
        <v>263</v>
      </c>
    </row>
    <row r="3" spans="1:2" x14ac:dyDescent="0.3">
      <c r="A3" t="s">
        <v>264</v>
      </c>
      <c r="B3">
        <v>25</v>
      </c>
    </row>
    <row r="4" spans="1:2" x14ac:dyDescent="0.3">
      <c r="A4" t="s">
        <v>265</v>
      </c>
      <c r="B4">
        <v>5000</v>
      </c>
    </row>
    <row r="5" spans="1:2" x14ac:dyDescent="0.3">
      <c r="A5" t="s">
        <v>266</v>
      </c>
      <c r="B5">
        <v>5</v>
      </c>
    </row>
    <row r="6" spans="1:2" x14ac:dyDescent="0.3">
      <c r="A6" t="s">
        <v>267</v>
      </c>
      <c r="B6">
        <v>400</v>
      </c>
    </row>
    <row r="7" spans="1:2" x14ac:dyDescent="0.3">
      <c r="B7" t="s">
        <v>268</v>
      </c>
    </row>
    <row r="8" spans="1:2" x14ac:dyDescent="0.3">
      <c r="A8" t="s">
        <v>269</v>
      </c>
    </row>
    <row r="9" spans="1:2" x14ac:dyDescent="0.3">
      <c r="A9" t="s">
        <v>270</v>
      </c>
      <c r="B9">
        <v>85000</v>
      </c>
    </row>
    <row r="10" spans="1:2" x14ac:dyDescent="0.3">
      <c r="A10" t="s">
        <v>271</v>
      </c>
      <c r="B10">
        <v>10000</v>
      </c>
    </row>
    <row r="11" spans="1:2" x14ac:dyDescent="0.3">
      <c r="A11" t="s">
        <v>272</v>
      </c>
      <c r="B11">
        <v>2000</v>
      </c>
    </row>
    <row r="12" spans="1:2" x14ac:dyDescent="0.3">
      <c r="A12" t="s">
        <v>273</v>
      </c>
      <c r="B12">
        <v>300</v>
      </c>
    </row>
    <row r="13" spans="1:2" x14ac:dyDescent="0.3">
      <c r="A13" t="s">
        <v>294</v>
      </c>
      <c r="B13">
        <v>3500</v>
      </c>
    </row>
    <row r="14" spans="1:2" x14ac:dyDescent="0.3">
      <c r="A14" t="s">
        <v>274</v>
      </c>
      <c r="B14">
        <v>1200</v>
      </c>
    </row>
    <row r="15" spans="1:2" x14ac:dyDescent="0.3">
      <c r="A15" t="s">
        <v>275</v>
      </c>
    </row>
    <row r="16" spans="1:2" x14ac:dyDescent="0.3">
      <c r="A16" t="s">
        <v>276</v>
      </c>
      <c r="B16">
        <v>50000</v>
      </c>
    </row>
    <row r="17" spans="1:2" x14ac:dyDescent="0.3">
      <c r="A17" t="s">
        <v>277</v>
      </c>
      <c r="B17">
        <v>150000</v>
      </c>
    </row>
    <row r="18" spans="1:2" x14ac:dyDescent="0.3">
      <c r="A18" t="s">
        <v>278</v>
      </c>
      <c r="B18">
        <v>100000</v>
      </c>
    </row>
    <row r="19" spans="1:2" x14ac:dyDescent="0.3">
      <c r="A19" t="s">
        <v>279</v>
      </c>
      <c r="B19">
        <v>75000</v>
      </c>
    </row>
    <row r="20" spans="1:2" x14ac:dyDescent="0.3">
      <c r="A20" t="s">
        <v>295</v>
      </c>
      <c r="B20">
        <v>15000</v>
      </c>
    </row>
    <row r="21" spans="1:2" x14ac:dyDescent="0.3">
      <c r="A21" t="s">
        <v>280</v>
      </c>
      <c r="B21">
        <v>3000</v>
      </c>
    </row>
    <row r="23" spans="1:2" x14ac:dyDescent="0.3">
      <c r="A23" s="1" t="s">
        <v>281</v>
      </c>
    </row>
    <row r="24" spans="1:2" x14ac:dyDescent="0.3">
      <c r="A24" s="3" t="s">
        <v>263</v>
      </c>
    </row>
    <row r="25" spans="1:2" x14ac:dyDescent="0.3">
      <c r="A25" t="s">
        <v>282</v>
      </c>
      <c r="B25">
        <v>23</v>
      </c>
    </row>
    <row r="26" spans="1:2" x14ac:dyDescent="0.3">
      <c r="A26" t="s">
        <v>283</v>
      </c>
      <c r="B26">
        <v>127</v>
      </c>
    </row>
    <row r="27" spans="1:2" x14ac:dyDescent="0.3">
      <c r="A27" t="s">
        <v>284</v>
      </c>
      <c r="B27">
        <v>24</v>
      </c>
    </row>
    <row r="28" spans="1:2" x14ac:dyDescent="0.3">
      <c r="A28" t="s">
        <v>285</v>
      </c>
      <c r="B28">
        <v>100</v>
      </c>
    </row>
    <row r="29" spans="1:2" x14ac:dyDescent="0.3">
      <c r="A29" t="s">
        <v>286</v>
      </c>
      <c r="B29">
        <v>7</v>
      </c>
    </row>
    <row r="30" spans="1:2" x14ac:dyDescent="0.3">
      <c r="A30" t="s">
        <v>269</v>
      </c>
    </row>
    <row r="31" spans="1:2" x14ac:dyDescent="0.3">
      <c r="A31" t="s">
        <v>287</v>
      </c>
      <c r="B31">
        <v>95000</v>
      </c>
    </row>
    <row r="32" spans="1:2" x14ac:dyDescent="0.3">
      <c r="A32" t="s">
        <v>288</v>
      </c>
      <c r="B32">
        <v>1000</v>
      </c>
    </row>
    <row r="33" spans="1:2" x14ac:dyDescent="0.3">
      <c r="A33" t="s">
        <v>272</v>
      </c>
      <c r="B33">
        <v>900</v>
      </c>
    </row>
    <row r="34" spans="1:2" x14ac:dyDescent="0.3">
      <c r="A34" t="s">
        <v>289</v>
      </c>
      <c r="B34">
        <v>750</v>
      </c>
    </row>
    <row r="35" spans="1:2" x14ac:dyDescent="0.3">
      <c r="A35" t="s">
        <v>290</v>
      </c>
      <c r="B35">
        <v>25000</v>
      </c>
    </row>
    <row r="36" spans="1:2" x14ac:dyDescent="0.3">
      <c r="A36" t="s">
        <v>274</v>
      </c>
      <c r="B36">
        <v>2000</v>
      </c>
    </row>
    <row r="37" spans="1:2" x14ac:dyDescent="0.3">
      <c r="A37" t="s">
        <v>275</v>
      </c>
    </row>
    <row r="38" spans="1:2" x14ac:dyDescent="0.3">
      <c r="A38" t="s">
        <v>291</v>
      </c>
      <c r="B38">
        <v>3066917.7459069956</v>
      </c>
    </row>
    <row r="39" spans="1:2" x14ac:dyDescent="0.3">
      <c r="A39" t="s">
        <v>292</v>
      </c>
      <c r="B39">
        <v>14000</v>
      </c>
    </row>
    <row r="40" spans="1:2" x14ac:dyDescent="0.3">
      <c r="A40" t="s">
        <v>293</v>
      </c>
      <c r="B40">
        <v>65000</v>
      </c>
    </row>
    <row r="42" spans="1:2" x14ac:dyDescent="0.3">
      <c r="A42" t="s">
        <v>296</v>
      </c>
      <c r="B42">
        <v>2500</v>
      </c>
    </row>
    <row r="43" spans="1:2" x14ac:dyDescent="0.3">
      <c r="A43" t="s">
        <v>297</v>
      </c>
      <c r="B43" s="2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Sojo</cp:lastModifiedBy>
  <dcterms:created xsi:type="dcterms:W3CDTF">2026-09-07T20:23:28Z</dcterms:created>
  <dcterms:modified xsi:type="dcterms:W3CDTF">2026-10-12T20:35:43Z</dcterms:modified>
</cp:coreProperties>
</file>